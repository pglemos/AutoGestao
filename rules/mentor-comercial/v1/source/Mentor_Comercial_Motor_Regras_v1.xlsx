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ie\OneDrive\MX PERFORMANCE\Modulo Vendedor\"/>
    </mc:Choice>
  </mc:AlternateContent>
  <xr:revisionPtr revIDLastSave="0" documentId="8_{32CBEA30-B36A-4C24-B64D-2B14A8B18672}" xr6:coauthVersionLast="47" xr6:coauthVersionMax="47" xr10:uidLastSave="{00000000-0000-0000-0000-000000000000}"/>
  <bookViews>
    <workbookView xWindow="-110" yWindow="-110" windowWidth="25820" windowHeight="15500" tabRatio="798" firstSheet="4" activeTab="12" xr2:uid="{00000000-000D-0000-FFFF-FFFF00000000}"/>
  </bookViews>
  <sheets>
    <sheet name="00 Guia" sheetId="1" r:id="rId1"/>
    <sheet name="01 Canais" sheetId="2" r:id="rId2"/>
    <sheet name="02 Status" sheetId="3" r:id="rId3"/>
    <sheet name="03 Cadências" sheetId="4" r:id="rId4"/>
    <sheet name="04 Passos_Cadência" sheetId="5" r:id="rId5"/>
    <sheet name="05 Scripts" sheetId="6" r:id="rId6"/>
    <sheet name="06 Transições" sheetId="7" r:id="rId7"/>
    <sheet name="07 Score_Prioridade" sheetId="8" r:id="rId8"/>
    <sheet name="08 Plano_Ataque" sheetId="9" r:id="rId9"/>
    <sheet name="Listas" sheetId="10" r:id="rId10"/>
    <sheet name="09 Teste_Clientes" sheetId="11" r:id="rId11"/>
    <sheet name="10 Integrações" sheetId="12" r:id="rId12"/>
    <sheet name="11 Testes_Cenário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4" i="11" l="1"/>
  <c r="X104" i="11"/>
  <c r="R104" i="11"/>
  <c r="O104" i="11"/>
  <c r="N104" i="11"/>
  <c r="M104" i="11"/>
  <c r="Z104" i="11" s="1"/>
  <c r="L104" i="11"/>
  <c r="K104" i="11"/>
  <c r="J104" i="11"/>
  <c r="I104" i="11"/>
  <c r="H104" i="11"/>
  <c r="G104" i="11"/>
  <c r="F104" i="11"/>
  <c r="E104" i="11"/>
  <c r="AD103" i="11"/>
  <c r="X103" i="11"/>
  <c r="R103" i="11"/>
  <c r="O103" i="11"/>
  <c r="N103" i="11"/>
  <c r="M103" i="11"/>
  <c r="Z103" i="11" s="1"/>
  <c r="L103" i="11"/>
  <c r="K103" i="11"/>
  <c r="J103" i="11"/>
  <c r="I103" i="11"/>
  <c r="H103" i="11"/>
  <c r="G103" i="11"/>
  <c r="F103" i="11"/>
  <c r="E103" i="11"/>
  <c r="AD102" i="11"/>
  <c r="X102" i="11"/>
  <c r="R102" i="11"/>
  <c r="O102" i="11"/>
  <c r="N102" i="11"/>
  <c r="M102" i="11"/>
  <c r="Z102" i="11" s="1"/>
  <c r="L102" i="11"/>
  <c r="K102" i="11"/>
  <c r="J102" i="11"/>
  <c r="I102" i="11"/>
  <c r="H102" i="11"/>
  <c r="G102" i="11"/>
  <c r="F102" i="11"/>
  <c r="E102" i="11"/>
  <c r="AD101" i="11"/>
  <c r="X101" i="11"/>
  <c r="R101" i="11"/>
  <c r="O101" i="11"/>
  <c r="N101" i="11"/>
  <c r="M101" i="11"/>
  <c r="Z101" i="11" s="1"/>
  <c r="L101" i="11"/>
  <c r="K101" i="11"/>
  <c r="J101" i="11"/>
  <c r="I101" i="11"/>
  <c r="H101" i="11"/>
  <c r="G101" i="11"/>
  <c r="F101" i="11"/>
  <c r="E101" i="11"/>
  <c r="AD100" i="11"/>
  <c r="Z100" i="11"/>
  <c r="X100" i="11"/>
  <c r="R100" i="11"/>
  <c r="O100" i="11"/>
  <c r="N100" i="11"/>
  <c r="M100" i="11"/>
  <c r="L100" i="11"/>
  <c r="K100" i="11"/>
  <c r="J100" i="11"/>
  <c r="I100" i="11"/>
  <c r="H100" i="11"/>
  <c r="G100" i="11"/>
  <c r="F100" i="11"/>
  <c r="E100" i="11"/>
  <c r="AD99" i="11"/>
  <c r="X99" i="11"/>
  <c r="R99" i="11"/>
  <c r="O99" i="11"/>
  <c r="N99" i="11"/>
  <c r="M99" i="11"/>
  <c r="Z99" i="11" s="1"/>
  <c r="L99" i="11"/>
  <c r="K99" i="11"/>
  <c r="J99" i="11"/>
  <c r="I99" i="11"/>
  <c r="H99" i="11"/>
  <c r="G99" i="11"/>
  <c r="F99" i="11"/>
  <c r="E99" i="11"/>
  <c r="AD98" i="11"/>
  <c r="X98" i="11"/>
  <c r="R98" i="11"/>
  <c r="O98" i="11"/>
  <c r="N98" i="11"/>
  <c r="M98" i="11"/>
  <c r="Z98" i="11" s="1"/>
  <c r="L98" i="11"/>
  <c r="K98" i="11"/>
  <c r="J98" i="11"/>
  <c r="I98" i="11"/>
  <c r="H98" i="11"/>
  <c r="G98" i="11"/>
  <c r="F98" i="11"/>
  <c r="E98" i="11"/>
  <c r="AD97" i="11"/>
  <c r="X97" i="11"/>
  <c r="R97" i="11"/>
  <c r="O97" i="11"/>
  <c r="N97" i="11"/>
  <c r="M97" i="11"/>
  <c r="Z97" i="11" s="1"/>
  <c r="L97" i="11"/>
  <c r="K97" i="11"/>
  <c r="J97" i="11"/>
  <c r="I97" i="11"/>
  <c r="H97" i="11"/>
  <c r="G97" i="11"/>
  <c r="F97" i="11"/>
  <c r="E97" i="11"/>
  <c r="AD96" i="11"/>
  <c r="X96" i="11"/>
  <c r="R96" i="11"/>
  <c r="O96" i="11"/>
  <c r="N96" i="11"/>
  <c r="M96" i="11"/>
  <c r="Z96" i="11" s="1"/>
  <c r="L96" i="11"/>
  <c r="K96" i="11"/>
  <c r="J96" i="11"/>
  <c r="I96" i="11"/>
  <c r="H96" i="11"/>
  <c r="G96" i="11"/>
  <c r="F96" i="11"/>
  <c r="E96" i="11"/>
  <c r="AD95" i="11"/>
  <c r="X95" i="11"/>
  <c r="R95" i="11"/>
  <c r="O95" i="11"/>
  <c r="N95" i="11"/>
  <c r="M95" i="11"/>
  <c r="Z95" i="11" s="1"/>
  <c r="L95" i="11"/>
  <c r="K95" i="11"/>
  <c r="J95" i="11"/>
  <c r="I95" i="11"/>
  <c r="H95" i="11"/>
  <c r="G95" i="11"/>
  <c r="F95" i="11"/>
  <c r="E95" i="11"/>
  <c r="AD94" i="11"/>
  <c r="X94" i="11"/>
  <c r="R94" i="11"/>
  <c r="O94" i="11"/>
  <c r="N94" i="11"/>
  <c r="M94" i="11"/>
  <c r="Z94" i="11" s="1"/>
  <c r="L94" i="11"/>
  <c r="K94" i="11"/>
  <c r="J94" i="11"/>
  <c r="I94" i="11"/>
  <c r="H94" i="11"/>
  <c r="G94" i="11"/>
  <c r="F94" i="11"/>
  <c r="E94" i="11"/>
  <c r="AD93" i="11"/>
  <c r="X93" i="11"/>
  <c r="R93" i="11"/>
  <c r="O93" i="11"/>
  <c r="N93" i="11"/>
  <c r="M93" i="11"/>
  <c r="Z93" i="11" s="1"/>
  <c r="L93" i="11"/>
  <c r="K93" i="11"/>
  <c r="J93" i="11"/>
  <c r="I93" i="11"/>
  <c r="H93" i="11"/>
  <c r="G93" i="11"/>
  <c r="F93" i="11"/>
  <c r="E93" i="11"/>
  <c r="AD92" i="11"/>
  <c r="X92" i="11"/>
  <c r="R92" i="11"/>
  <c r="O92" i="11"/>
  <c r="N92" i="11"/>
  <c r="M92" i="11"/>
  <c r="Z92" i="11" s="1"/>
  <c r="L92" i="11"/>
  <c r="K92" i="11"/>
  <c r="J92" i="11"/>
  <c r="I92" i="11"/>
  <c r="H92" i="11"/>
  <c r="G92" i="11"/>
  <c r="F92" i="11"/>
  <c r="E92" i="11"/>
  <c r="AD91" i="11"/>
  <c r="X91" i="11"/>
  <c r="R91" i="11"/>
  <c r="O91" i="11"/>
  <c r="N91" i="11"/>
  <c r="M91" i="11"/>
  <c r="Z91" i="11" s="1"/>
  <c r="L91" i="11"/>
  <c r="K91" i="11"/>
  <c r="J91" i="11"/>
  <c r="I91" i="11"/>
  <c r="H91" i="11"/>
  <c r="G91" i="11"/>
  <c r="F91" i="11"/>
  <c r="E91" i="11"/>
  <c r="AD90" i="11"/>
  <c r="X90" i="11"/>
  <c r="R90" i="11"/>
  <c r="O90" i="11"/>
  <c r="N90" i="11"/>
  <c r="M90" i="11"/>
  <c r="Z90" i="11" s="1"/>
  <c r="L90" i="11"/>
  <c r="K90" i="11"/>
  <c r="J90" i="11"/>
  <c r="I90" i="11"/>
  <c r="H90" i="11"/>
  <c r="G90" i="11"/>
  <c r="F90" i="11"/>
  <c r="E90" i="11"/>
  <c r="AD89" i="11"/>
  <c r="X89" i="11"/>
  <c r="R89" i="11"/>
  <c r="O89" i="11"/>
  <c r="N89" i="11"/>
  <c r="M89" i="11"/>
  <c r="Z89" i="11" s="1"/>
  <c r="L89" i="11"/>
  <c r="K89" i="11"/>
  <c r="J89" i="11"/>
  <c r="I89" i="11"/>
  <c r="H89" i="11"/>
  <c r="G89" i="11"/>
  <c r="F89" i="11"/>
  <c r="E89" i="11"/>
  <c r="AD88" i="11"/>
  <c r="X88" i="11"/>
  <c r="R88" i="11"/>
  <c r="O88" i="11"/>
  <c r="N88" i="11"/>
  <c r="M88" i="11"/>
  <c r="Z88" i="11" s="1"/>
  <c r="L88" i="11"/>
  <c r="K88" i="11"/>
  <c r="J88" i="11"/>
  <c r="I88" i="11"/>
  <c r="H88" i="11"/>
  <c r="G88" i="11"/>
  <c r="F88" i="11"/>
  <c r="E88" i="11"/>
  <c r="AD87" i="11"/>
  <c r="X87" i="11"/>
  <c r="R87" i="11"/>
  <c r="O87" i="11"/>
  <c r="N87" i="11"/>
  <c r="M87" i="11"/>
  <c r="Z87" i="11" s="1"/>
  <c r="L87" i="11"/>
  <c r="K87" i="11"/>
  <c r="J87" i="11"/>
  <c r="I87" i="11"/>
  <c r="H87" i="11"/>
  <c r="G87" i="11"/>
  <c r="F87" i="11"/>
  <c r="E87" i="11"/>
  <c r="AD86" i="11"/>
  <c r="X86" i="11"/>
  <c r="R86" i="11"/>
  <c r="O86" i="11"/>
  <c r="N86" i="11"/>
  <c r="M86" i="11"/>
  <c r="Z86" i="11" s="1"/>
  <c r="L86" i="11"/>
  <c r="K86" i="11"/>
  <c r="J86" i="11"/>
  <c r="I86" i="11"/>
  <c r="H86" i="11"/>
  <c r="G86" i="11"/>
  <c r="F86" i="11"/>
  <c r="E86" i="11"/>
  <c r="AD85" i="11"/>
  <c r="X85" i="11"/>
  <c r="R85" i="11"/>
  <c r="O85" i="11"/>
  <c r="N85" i="11"/>
  <c r="M85" i="11"/>
  <c r="Z85" i="11" s="1"/>
  <c r="L85" i="11"/>
  <c r="K85" i="11"/>
  <c r="J85" i="11"/>
  <c r="I85" i="11"/>
  <c r="H85" i="11"/>
  <c r="G85" i="11"/>
  <c r="F85" i="11"/>
  <c r="E85" i="11"/>
  <c r="AD84" i="11"/>
  <c r="X84" i="11"/>
  <c r="R84" i="11"/>
  <c r="O84" i="11"/>
  <c r="N84" i="11"/>
  <c r="M84" i="11"/>
  <c r="Z84" i="11" s="1"/>
  <c r="L84" i="11"/>
  <c r="K84" i="11"/>
  <c r="J84" i="11"/>
  <c r="I84" i="11"/>
  <c r="H84" i="11"/>
  <c r="G84" i="11"/>
  <c r="F84" i="11"/>
  <c r="E84" i="11"/>
  <c r="AD83" i="11"/>
  <c r="X83" i="11"/>
  <c r="R83" i="11"/>
  <c r="O83" i="11"/>
  <c r="N83" i="11"/>
  <c r="M83" i="11"/>
  <c r="Z83" i="11" s="1"/>
  <c r="L83" i="11"/>
  <c r="K83" i="11"/>
  <c r="J83" i="11"/>
  <c r="I83" i="11"/>
  <c r="H83" i="11"/>
  <c r="G83" i="11"/>
  <c r="F83" i="11"/>
  <c r="E83" i="11"/>
  <c r="AD82" i="11"/>
  <c r="X82" i="11"/>
  <c r="R82" i="11"/>
  <c r="O82" i="11"/>
  <c r="N82" i="11"/>
  <c r="M82" i="11"/>
  <c r="Z82" i="11" s="1"/>
  <c r="L82" i="11"/>
  <c r="K82" i="11"/>
  <c r="J82" i="11"/>
  <c r="I82" i="11"/>
  <c r="H82" i="11"/>
  <c r="G82" i="11"/>
  <c r="F82" i="11"/>
  <c r="E82" i="11"/>
  <c r="AD81" i="11"/>
  <c r="X81" i="11"/>
  <c r="R81" i="11"/>
  <c r="O81" i="11"/>
  <c r="N81" i="11"/>
  <c r="M81" i="11"/>
  <c r="Z81" i="11" s="1"/>
  <c r="L81" i="11"/>
  <c r="K81" i="11"/>
  <c r="J81" i="11"/>
  <c r="I81" i="11"/>
  <c r="H81" i="11"/>
  <c r="G81" i="11"/>
  <c r="F81" i="11"/>
  <c r="E81" i="11"/>
  <c r="AD80" i="11"/>
  <c r="X80" i="11"/>
  <c r="R80" i="11"/>
  <c r="O80" i="11"/>
  <c r="N80" i="11"/>
  <c r="M80" i="11"/>
  <c r="Z80" i="11" s="1"/>
  <c r="L80" i="11"/>
  <c r="K80" i="11"/>
  <c r="J80" i="11"/>
  <c r="I80" i="11"/>
  <c r="H80" i="11"/>
  <c r="G80" i="11"/>
  <c r="F80" i="11"/>
  <c r="E80" i="11"/>
  <c r="AD79" i="11"/>
  <c r="X79" i="11"/>
  <c r="R79" i="11"/>
  <c r="O79" i="11"/>
  <c r="N79" i="11"/>
  <c r="M79" i="11"/>
  <c r="Z79" i="11" s="1"/>
  <c r="L79" i="11"/>
  <c r="K79" i="11"/>
  <c r="J79" i="11"/>
  <c r="I79" i="11"/>
  <c r="H79" i="11"/>
  <c r="G79" i="11"/>
  <c r="F79" i="11"/>
  <c r="E79" i="11"/>
  <c r="AD78" i="11"/>
  <c r="X78" i="11"/>
  <c r="R78" i="11"/>
  <c r="O78" i="11"/>
  <c r="N78" i="11"/>
  <c r="M78" i="11"/>
  <c r="Z78" i="11" s="1"/>
  <c r="L78" i="11"/>
  <c r="K78" i="11"/>
  <c r="J78" i="11"/>
  <c r="I78" i="11"/>
  <c r="H78" i="11"/>
  <c r="G78" i="11"/>
  <c r="F78" i="11"/>
  <c r="E78" i="11"/>
  <c r="AD77" i="11"/>
  <c r="AA77" i="11"/>
  <c r="Z77" i="11"/>
  <c r="AB77" i="11" s="1"/>
  <c r="AC77" i="11" s="1"/>
  <c r="X77" i="11"/>
  <c r="Y77" i="11" s="1"/>
  <c r="R77" i="11"/>
  <c r="O77" i="11"/>
  <c r="N77" i="11"/>
  <c r="M77" i="11"/>
  <c r="L77" i="11"/>
  <c r="K77" i="11"/>
  <c r="J77" i="11"/>
  <c r="I77" i="11"/>
  <c r="H77" i="11"/>
  <c r="G77" i="11"/>
  <c r="F77" i="11"/>
  <c r="E77" i="11"/>
  <c r="AD76" i="11"/>
  <c r="X76" i="11"/>
  <c r="R76" i="11"/>
  <c r="O76" i="11"/>
  <c r="N76" i="11"/>
  <c r="M76" i="11"/>
  <c r="Z76" i="11" s="1"/>
  <c r="L76" i="11"/>
  <c r="K76" i="11"/>
  <c r="J76" i="11"/>
  <c r="I76" i="11"/>
  <c r="H76" i="11"/>
  <c r="G76" i="11"/>
  <c r="F76" i="11"/>
  <c r="E76" i="11"/>
  <c r="AD75" i="11"/>
  <c r="X75" i="11"/>
  <c r="R75" i="11"/>
  <c r="O75" i="11"/>
  <c r="N75" i="11"/>
  <c r="M75" i="11"/>
  <c r="Z75" i="11" s="1"/>
  <c r="L75" i="11"/>
  <c r="K75" i="11"/>
  <c r="J75" i="11"/>
  <c r="I75" i="11"/>
  <c r="H75" i="11"/>
  <c r="G75" i="11"/>
  <c r="F75" i="11"/>
  <c r="E75" i="11"/>
  <c r="AD74" i="11"/>
  <c r="X74" i="11"/>
  <c r="R74" i="11"/>
  <c r="O74" i="11"/>
  <c r="N74" i="11"/>
  <c r="M74" i="11"/>
  <c r="Z74" i="11" s="1"/>
  <c r="L74" i="11"/>
  <c r="K74" i="11"/>
  <c r="J74" i="11"/>
  <c r="I74" i="11"/>
  <c r="H74" i="11"/>
  <c r="G74" i="11"/>
  <c r="F74" i="11"/>
  <c r="E74" i="11"/>
  <c r="AD73" i="11"/>
  <c r="X73" i="11"/>
  <c r="R73" i="11"/>
  <c r="O73" i="11"/>
  <c r="N73" i="11"/>
  <c r="M73" i="11"/>
  <c r="Z73" i="11" s="1"/>
  <c r="L73" i="11"/>
  <c r="K73" i="11"/>
  <c r="J73" i="11"/>
  <c r="I73" i="11"/>
  <c r="H73" i="11"/>
  <c r="G73" i="11"/>
  <c r="F73" i="11"/>
  <c r="E73" i="11"/>
  <c r="AD72" i="11"/>
  <c r="X72" i="11"/>
  <c r="R72" i="11"/>
  <c r="O72" i="11"/>
  <c r="N72" i="11"/>
  <c r="M72" i="11"/>
  <c r="Z72" i="11" s="1"/>
  <c r="L72" i="11"/>
  <c r="K72" i="11"/>
  <c r="J72" i="11"/>
  <c r="I72" i="11"/>
  <c r="H72" i="11"/>
  <c r="G72" i="11"/>
  <c r="F72" i="11"/>
  <c r="E72" i="11"/>
  <c r="AD71" i="11"/>
  <c r="X71" i="11"/>
  <c r="R71" i="11"/>
  <c r="O71" i="11"/>
  <c r="N71" i="11"/>
  <c r="M71" i="11"/>
  <c r="Z71" i="11" s="1"/>
  <c r="L71" i="11"/>
  <c r="K71" i="11"/>
  <c r="J71" i="11"/>
  <c r="I71" i="11"/>
  <c r="H71" i="11"/>
  <c r="G71" i="11"/>
  <c r="F71" i="11"/>
  <c r="E71" i="11"/>
  <c r="AD70" i="11"/>
  <c r="X70" i="11"/>
  <c r="R70" i="11"/>
  <c r="O70" i="11"/>
  <c r="N70" i="11"/>
  <c r="M70" i="11"/>
  <c r="Z70" i="11" s="1"/>
  <c r="L70" i="11"/>
  <c r="K70" i="11"/>
  <c r="J70" i="11"/>
  <c r="I70" i="11"/>
  <c r="H70" i="11"/>
  <c r="G70" i="11"/>
  <c r="F70" i="11"/>
  <c r="E70" i="11"/>
  <c r="AD69" i="11"/>
  <c r="X69" i="11"/>
  <c r="R69" i="11"/>
  <c r="O69" i="11"/>
  <c r="N69" i="11"/>
  <c r="M69" i="11"/>
  <c r="Z69" i="11" s="1"/>
  <c r="L69" i="11"/>
  <c r="K69" i="11"/>
  <c r="J69" i="11"/>
  <c r="I69" i="11"/>
  <c r="H69" i="11"/>
  <c r="G69" i="11"/>
  <c r="F69" i="11"/>
  <c r="E69" i="11"/>
  <c r="AD68" i="11"/>
  <c r="AA68" i="11"/>
  <c r="Z68" i="11"/>
  <c r="AB68" i="11" s="1"/>
  <c r="AC68" i="11" s="1"/>
  <c r="Y68" i="11"/>
  <c r="X68" i="11"/>
  <c r="R68" i="11"/>
  <c r="O68" i="11"/>
  <c r="N68" i="11"/>
  <c r="M68" i="11"/>
  <c r="L68" i="11"/>
  <c r="K68" i="11"/>
  <c r="J68" i="11"/>
  <c r="I68" i="11"/>
  <c r="H68" i="11"/>
  <c r="G68" i="11"/>
  <c r="F68" i="11"/>
  <c r="E68" i="11"/>
  <c r="AD67" i="11"/>
  <c r="X67" i="11"/>
  <c r="R67" i="11"/>
  <c r="O67" i="11"/>
  <c r="N67" i="11"/>
  <c r="M67" i="11"/>
  <c r="Z67" i="11" s="1"/>
  <c r="L67" i="11"/>
  <c r="K67" i="11"/>
  <c r="J67" i="11"/>
  <c r="I67" i="11"/>
  <c r="H67" i="11"/>
  <c r="G67" i="11"/>
  <c r="F67" i="11"/>
  <c r="E67" i="11"/>
  <c r="AD66" i="11"/>
  <c r="X66" i="11"/>
  <c r="R66" i="11"/>
  <c r="O66" i="11"/>
  <c r="N66" i="11"/>
  <c r="M66" i="11"/>
  <c r="Z66" i="11" s="1"/>
  <c r="L66" i="11"/>
  <c r="K66" i="11"/>
  <c r="J66" i="11"/>
  <c r="I66" i="11"/>
  <c r="H66" i="11"/>
  <c r="G66" i="11"/>
  <c r="F66" i="11"/>
  <c r="E66" i="11"/>
  <c r="AD65" i="11"/>
  <c r="X65" i="11"/>
  <c r="R65" i="11"/>
  <c r="O65" i="11"/>
  <c r="N65" i="11"/>
  <c r="M65" i="11"/>
  <c r="Z65" i="11" s="1"/>
  <c r="L65" i="11"/>
  <c r="K65" i="11"/>
  <c r="J65" i="11"/>
  <c r="I65" i="11"/>
  <c r="H65" i="11"/>
  <c r="G65" i="11"/>
  <c r="F65" i="11"/>
  <c r="E65" i="11"/>
  <c r="AD64" i="11"/>
  <c r="X64" i="11"/>
  <c r="R64" i="11"/>
  <c r="O64" i="11"/>
  <c r="N64" i="11"/>
  <c r="M64" i="11"/>
  <c r="Z64" i="11" s="1"/>
  <c r="L64" i="11"/>
  <c r="K64" i="11"/>
  <c r="J64" i="11"/>
  <c r="I64" i="11"/>
  <c r="H64" i="11"/>
  <c r="G64" i="11"/>
  <c r="F64" i="11"/>
  <c r="E64" i="11"/>
  <c r="AD63" i="11"/>
  <c r="X63" i="11"/>
  <c r="R63" i="11"/>
  <c r="O63" i="11"/>
  <c r="N63" i="11"/>
  <c r="M63" i="11"/>
  <c r="Z63" i="11" s="1"/>
  <c r="L63" i="11"/>
  <c r="K63" i="11"/>
  <c r="J63" i="11"/>
  <c r="I63" i="11"/>
  <c r="H63" i="11"/>
  <c r="G63" i="11"/>
  <c r="F63" i="11"/>
  <c r="E63" i="11"/>
  <c r="AD62" i="11"/>
  <c r="X62" i="11"/>
  <c r="R62" i="11"/>
  <c r="O62" i="11"/>
  <c r="N62" i="11"/>
  <c r="M62" i="11"/>
  <c r="Z62" i="11" s="1"/>
  <c r="L62" i="11"/>
  <c r="K62" i="11"/>
  <c r="J62" i="11"/>
  <c r="I62" i="11"/>
  <c r="H62" i="11"/>
  <c r="G62" i="11"/>
  <c r="F62" i="11"/>
  <c r="E62" i="11"/>
  <c r="AD61" i="11"/>
  <c r="X61" i="11"/>
  <c r="R61" i="11"/>
  <c r="O61" i="11"/>
  <c r="N61" i="11"/>
  <c r="M61" i="11"/>
  <c r="Z61" i="11" s="1"/>
  <c r="L61" i="11"/>
  <c r="K61" i="11"/>
  <c r="J61" i="11"/>
  <c r="I61" i="11"/>
  <c r="H61" i="11"/>
  <c r="G61" i="11"/>
  <c r="F61" i="11"/>
  <c r="E61" i="11"/>
  <c r="AD60" i="11"/>
  <c r="X60" i="11"/>
  <c r="R60" i="11"/>
  <c r="O60" i="11"/>
  <c r="N60" i="11"/>
  <c r="M60" i="11"/>
  <c r="Z60" i="11" s="1"/>
  <c r="L60" i="11"/>
  <c r="K60" i="11"/>
  <c r="J60" i="11"/>
  <c r="I60" i="11"/>
  <c r="H60" i="11"/>
  <c r="G60" i="11"/>
  <c r="F60" i="11"/>
  <c r="E60" i="11"/>
  <c r="AD59" i="11"/>
  <c r="Z59" i="11"/>
  <c r="X59" i="11"/>
  <c r="R59" i="11"/>
  <c r="O59" i="11"/>
  <c r="N59" i="11"/>
  <c r="M59" i="11"/>
  <c r="L59" i="11"/>
  <c r="K59" i="11"/>
  <c r="J59" i="11"/>
  <c r="I59" i="11"/>
  <c r="H59" i="11"/>
  <c r="G59" i="11"/>
  <c r="F59" i="11"/>
  <c r="E59" i="11"/>
  <c r="AD58" i="11"/>
  <c r="X58" i="11"/>
  <c r="R58" i="11"/>
  <c r="O58" i="11"/>
  <c r="N58" i="11"/>
  <c r="M58" i="11"/>
  <c r="Z58" i="11" s="1"/>
  <c r="L58" i="11"/>
  <c r="K58" i="11"/>
  <c r="J58" i="11"/>
  <c r="I58" i="11"/>
  <c r="H58" i="11"/>
  <c r="G58" i="11"/>
  <c r="F58" i="11"/>
  <c r="E58" i="11"/>
  <c r="AD57" i="11"/>
  <c r="X57" i="11"/>
  <c r="R57" i="11"/>
  <c r="O57" i="11"/>
  <c r="N57" i="11"/>
  <c r="M57" i="11"/>
  <c r="Z57" i="11" s="1"/>
  <c r="L57" i="11"/>
  <c r="K57" i="11"/>
  <c r="J57" i="11"/>
  <c r="I57" i="11"/>
  <c r="H57" i="11"/>
  <c r="G57" i="11"/>
  <c r="F57" i="11"/>
  <c r="E57" i="11"/>
  <c r="AD56" i="11"/>
  <c r="X56" i="11"/>
  <c r="R56" i="11"/>
  <c r="O56" i="11"/>
  <c r="N56" i="11"/>
  <c r="M56" i="11"/>
  <c r="Z56" i="11" s="1"/>
  <c r="L56" i="11"/>
  <c r="K56" i="11"/>
  <c r="J56" i="11"/>
  <c r="I56" i="11"/>
  <c r="H56" i="11"/>
  <c r="G56" i="11"/>
  <c r="F56" i="11"/>
  <c r="E56" i="11"/>
  <c r="AD55" i="11"/>
  <c r="X55" i="11"/>
  <c r="R55" i="11"/>
  <c r="O55" i="11"/>
  <c r="N55" i="11"/>
  <c r="M55" i="11"/>
  <c r="Z55" i="11" s="1"/>
  <c r="L55" i="11"/>
  <c r="K55" i="11"/>
  <c r="J55" i="11"/>
  <c r="I55" i="11"/>
  <c r="H55" i="11"/>
  <c r="G55" i="11"/>
  <c r="F55" i="11"/>
  <c r="E55" i="11"/>
  <c r="AD54" i="11"/>
  <c r="X54" i="11"/>
  <c r="R54" i="11"/>
  <c r="O54" i="11"/>
  <c r="N54" i="11"/>
  <c r="M54" i="11"/>
  <c r="Z54" i="11" s="1"/>
  <c r="L54" i="11"/>
  <c r="K54" i="11"/>
  <c r="J54" i="11"/>
  <c r="I54" i="11"/>
  <c r="H54" i="11"/>
  <c r="G54" i="11"/>
  <c r="F54" i="11"/>
  <c r="E54" i="11"/>
  <c r="AD53" i="11"/>
  <c r="X53" i="11"/>
  <c r="R53" i="11"/>
  <c r="O53" i="11"/>
  <c r="N53" i="11"/>
  <c r="M53" i="11"/>
  <c r="Z53" i="11" s="1"/>
  <c r="L53" i="11"/>
  <c r="K53" i="11"/>
  <c r="J53" i="11"/>
  <c r="I53" i="11"/>
  <c r="H53" i="11"/>
  <c r="G53" i="11"/>
  <c r="F53" i="11"/>
  <c r="E53" i="11"/>
  <c r="AD52" i="11"/>
  <c r="X52" i="11"/>
  <c r="R52" i="11"/>
  <c r="O52" i="11"/>
  <c r="N52" i="11"/>
  <c r="M52" i="11"/>
  <c r="Z52" i="11" s="1"/>
  <c r="L52" i="11"/>
  <c r="K52" i="11"/>
  <c r="J52" i="11"/>
  <c r="I52" i="11"/>
  <c r="H52" i="11"/>
  <c r="G52" i="11"/>
  <c r="F52" i="11"/>
  <c r="E52" i="11"/>
  <c r="AD51" i="11"/>
  <c r="X51" i="11"/>
  <c r="R51" i="11"/>
  <c r="O51" i="11"/>
  <c r="N51" i="11"/>
  <c r="M51" i="11"/>
  <c r="Z51" i="11" s="1"/>
  <c r="L51" i="11"/>
  <c r="K51" i="11"/>
  <c r="J51" i="11"/>
  <c r="I51" i="11"/>
  <c r="H51" i="11"/>
  <c r="G51" i="11"/>
  <c r="F51" i="11"/>
  <c r="E51" i="11"/>
  <c r="AD50" i="11"/>
  <c r="Z50" i="11"/>
  <c r="X50" i="11"/>
  <c r="R50" i="11"/>
  <c r="O50" i="11"/>
  <c r="N50" i="11"/>
  <c r="M50" i="11"/>
  <c r="L50" i="11"/>
  <c r="K50" i="11"/>
  <c r="J50" i="11"/>
  <c r="I50" i="11"/>
  <c r="H50" i="11"/>
  <c r="G50" i="11"/>
  <c r="F50" i="11"/>
  <c r="E50" i="11"/>
  <c r="AD49" i="11"/>
  <c r="X49" i="11"/>
  <c r="R49" i="11"/>
  <c r="O49" i="11"/>
  <c r="N49" i="11"/>
  <c r="M49" i="11"/>
  <c r="Z49" i="11" s="1"/>
  <c r="L49" i="11"/>
  <c r="K49" i="11"/>
  <c r="J49" i="11"/>
  <c r="I49" i="11"/>
  <c r="H49" i="11"/>
  <c r="G49" i="11"/>
  <c r="F49" i="11"/>
  <c r="E49" i="11"/>
  <c r="AD48" i="11"/>
  <c r="X48" i="11"/>
  <c r="R48" i="11"/>
  <c r="O48" i="11"/>
  <c r="N48" i="11"/>
  <c r="M48" i="11"/>
  <c r="Z48" i="11" s="1"/>
  <c r="L48" i="11"/>
  <c r="K48" i="11"/>
  <c r="J48" i="11"/>
  <c r="I48" i="11"/>
  <c r="H48" i="11"/>
  <c r="G48" i="11"/>
  <c r="F48" i="11"/>
  <c r="E48" i="11"/>
  <c r="AD47" i="11"/>
  <c r="X47" i="11"/>
  <c r="R47" i="11"/>
  <c r="O47" i="11"/>
  <c r="N47" i="11"/>
  <c r="M47" i="11"/>
  <c r="Z47" i="11" s="1"/>
  <c r="L47" i="11"/>
  <c r="K47" i="11"/>
  <c r="J47" i="11"/>
  <c r="I47" i="11"/>
  <c r="H47" i="11"/>
  <c r="G47" i="11"/>
  <c r="F47" i="11"/>
  <c r="E47" i="11"/>
  <c r="AD46" i="11"/>
  <c r="X46" i="11"/>
  <c r="R46" i="11"/>
  <c r="O46" i="11"/>
  <c r="N46" i="11"/>
  <c r="M46" i="11"/>
  <c r="Z46" i="11" s="1"/>
  <c r="L46" i="11"/>
  <c r="K46" i="11"/>
  <c r="J46" i="11"/>
  <c r="I46" i="11"/>
  <c r="H46" i="11"/>
  <c r="G46" i="11"/>
  <c r="F46" i="11"/>
  <c r="E46" i="11"/>
  <c r="AD45" i="11"/>
  <c r="X45" i="11"/>
  <c r="R45" i="11"/>
  <c r="O45" i="11"/>
  <c r="N45" i="11"/>
  <c r="M45" i="11"/>
  <c r="Z45" i="11" s="1"/>
  <c r="L45" i="11"/>
  <c r="K45" i="11"/>
  <c r="J45" i="11"/>
  <c r="I45" i="11"/>
  <c r="H45" i="11"/>
  <c r="G45" i="11"/>
  <c r="F45" i="11"/>
  <c r="E45" i="11"/>
  <c r="AD44" i="11"/>
  <c r="X44" i="11"/>
  <c r="R44" i="11"/>
  <c r="O44" i="11"/>
  <c r="N44" i="11"/>
  <c r="M44" i="11"/>
  <c r="Z44" i="11" s="1"/>
  <c r="L44" i="11"/>
  <c r="K44" i="11"/>
  <c r="J44" i="11"/>
  <c r="I44" i="11"/>
  <c r="H44" i="11"/>
  <c r="G44" i="11"/>
  <c r="F44" i="11"/>
  <c r="E44" i="11"/>
  <c r="AD43" i="11"/>
  <c r="X43" i="11"/>
  <c r="R43" i="11"/>
  <c r="O43" i="11"/>
  <c r="N43" i="11"/>
  <c r="M43" i="11"/>
  <c r="Z43" i="11" s="1"/>
  <c r="L43" i="11"/>
  <c r="K43" i="11"/>
  <c r="J43" i="11"/>
  <c r="I43" i="11"/>
  <c r="H43" i="11"/>
  <c r="G43" i="11"/>
  <c r="F43" i="11"/>
  <c r="E43" i="11"/>
  <c r="AD42" i="11"/>
  <c r="X42" i="11"/>
  <c r="R42" i="11"/>
  <c r="O42" i="11"/>
  <c r="N42" i="11"/>
  <c r="M42" i="11"/>
  <c r="Z42" i="11" s="1"/>
  <c r="L42" i="11"/>
  <c r="K42" i="11"/>
  <c r="J42" i="11"/>
  <c r="I42" i="11"/>
  <c r="H42" i="11"/>
  <c r="G42" i="11"/>
  <c r="F42" i="11"/>
  <c r="E42" i="11"/>
  <c r="AD41" i="11"/>
  <c r="X41" i="11"/>
  <c r="R41" i="11"/>
  <c r="O41" i="11"/>
  <c r="N41" i="11"/>
  <c r="M41" i="11"/>
  <c r="Z41" i="11" s="1"/>
  <c r="L41" i="11"/>
  <c r="K41" i="11"/>
  <c r="J41" i="11"/>
  <c r="I41" i="11"/>
  <c r="H41" i="11"/>
  <c r="G41" i="11"/>
  <c r="F41" i="11"/>
  <c r="E41" i="11"/>
  <c r="AD40" i="11"/>
  <c r="X40" i="11"/>
  <c r="R40" i="11"/>
  <c r="O40" i="11"/>
  <c r="N40" i="11"/>
  <c r="M40" i="11"/>
  <c r="Z40" i="11" s="1"/>
  <c r="L40" i="11"/>
  <c r="K40" i="11"/>
  <c r="J40" i="11"/>
  <c r="I40" i="11"/>
  <c r="H40" i="11"/>
  <c r="G40" i="11"/>
  <c r="F40" i="11"/>
  <c r="E40" i="11"/>
  <c r="AD39" i="11"/>
  <c r="X39" i="11"/>
  <c r="R39" i="11"/>
  <c r="O39" i="11"/>
  <c r="N39" i="11"/>
  <c r="M39" i="11"/>
  <c r="Z39" i="11" s="1"/>
  <c r="L39" i="11"/>
  <c r="K39" i="11"/>
  <c r="J39" i="11"/>
  <c r="I39" i="11"/>
  <c r="H39" i="11"/>
  <c r="G39" i="11"/>
  <c r="F39" i="11"/>
  <c r="E39" i="11"/>
  <c r="AD38" i="11"/>
  <c r="X38" i="11"/>
  <c r="R38" i="11"/>
  <c r="O38" i="11"/>
  <c r="N38" i="11"/>
  <c r="M38" i="11"/>
  <c r="Z38" i="11" s="1"/>
  <c r="L38" i="11"/>
  <c r="K38" i="11"/>
  <c r="J38" i="11"/>
  <c r="I38" i="11"/>
  <c r="H38" i="11"/>
  <c r="G38" i="11"/>
  <c r="F38" i="11"/>
  <c r="E38" i="11"/>
  <c r="AD37" i="11"/>
  <c r="X37" i="11"/>
  <c r="R37" i="11"/>
  <c r="O37" i="11"/>
  <c r="N37" i="11"/>
  <c r="M37" i="11"/>
  <c r="Z37" i="11" s="1"/>
  <c r="L37" i="11"/>
  <c r="K37" i="11"/>
  <c r="J37" i="11"/>
  <c r="I37" i="11"/>
  <c r="H37" i="11"/>
  <c r="G37" i="11"/>
  <c r="F37" i="11"/>
  <c r="E37" i="11"/>
  <c r="AD36" i="11"/>
  <c r="X36" i="11"/>
  <c r="R36" i="11"/>
  <c r="O36" i="11"/>
  <c r="N36" i="11"/>
  <c r="M36" i="11"/>
  <c r="Z36" i="11" s="1"/>
  <c r="L36" i="11"/>
  <c r="K36" i="11"/>
  <c r="J36" i="11"/>
  <c r="I36" i="11"/>
  <c r="H36" i="11"/>
  <c r="G36" i="11"/>
  <c r="F36" i="11"/>
  <c r="E36" i="11"/>
  <c r="AD35" i="11"/>
  <c r="X35" i="11"/>
  <c r="R35" i="11"/>
  <c r="O35" i="11"/>
  <c r="N35" i="11"/>
  <c r="M35" i="11"/>
  <c r="Z35" i="11" s="1"/>
  <c r="L35" i="11"/>
  <c r="K35" i="11"/>
  <c r="J35" i="11"/>
  <c r="I35" i="11"/>
  <c r="H35" i="11"/>
  <c r="G35" i="11"/>
  <c r="F35" i="11"/>
  <c r="E35" i="11"/>
  <c r="AD34" i="11"/>
  <c r="X34" i="11"/>
  <c r="R34" i="11"/>
  <c r="O34" i="11"/>
  <c r="N34" i="11"/>
  <c r="M34" i="11"/>
  <c r="Z34" i="11" s="1"/>
  <c r="L34" i="11"/>
  <c r="K34" i="11"/>
  <c r="J34" i="11"/>
  <c r="I34" i="11"/>
  <c r="H34" i="11"/>
  <c r="G34" i="11"/>
  <c r="F34" i="11"/>
  <c r="E34" i="11"/>
  <c r="AD33" i="11"/>
  <c r="X33" i="11"/>
  <c r="R33" i="11"/>
  <c r="O33" i="11"/>
  <c r="N33" i="11"/>
  <c r="M33" i="11"/>
  <c r="Z33" i="11" s="1"/>
  <c r="L33" i="11"/>
  <c r="K33" i="11"/>
  <c r="J33" i="11"/>
  <c r="I33" i="11"/>
  <c r="H33" i="11"/>
  <c r="G33" i="11"/>
  <c r="F33" i="11"/>
  <c r="E33" i="11"/>
  <c r="AD32" i="11"/>
  <c r="X32" i="11"/>
  <c r="R32" i="11"/>
  <c r="O32" i="11"/>
  <c r="N32" i="11"/>
  <c r="M32" i="11"/>
  <c r="Z32" i="11" s="1"/>
  <c r="L32" i="11"/>
  <c r="K32" i="11"/>
  <c r="J32" i="11"/>
  <c r="I32" i="11"/>
  <c r="H32" i="11"/>
  <c r="G32" i="11"/>
  <c r="F32" i="11"/>
  <c r="E32" i="11"/>
  <c r="AD31" i="11"/>
  <c r="X31" i="11"/>
  <c r="R31" i="11"/>
  <c r="O31" i="11"/>
  <c r="N31" i="11"/>
  <c r="M31" i="11"/>
  <c r="Z31" i="11" s="1"/>
  <c r="L31" i="11"/>
  <c r="K31" i="11"/>
  <c r="J31" i="11"/>
  <c r="I31" i="11"/>
  <c r="H31" i="11"/>
  <c r="G31" i="11"/>
  <c r="F31" i="11"/>
  <c r="E31" i="11"/>
  <c r="AD30" i="11"/>
  <c r="X30" i="11"/>
  <c r="R30" i="11"/>
  <c r="O30" i="11"/>
  <c r="N30" i="11"/>
  <c r="M30" i="11"/>
  <c r="Z30" i="11" s="1"/>
  <c r="L30" i="11"/>
  <c r="K30" i="11"/>
  <c r="J30" i="11"/>
  <c r="I30" i="11"/>
  <c r="H30" i="11"/>
  <c r="G30" i="11"/>
  <c r="F30" i="11"/>
  <c r="E30" i="11"/>
  <c r="AD29" i="11"/>
  <c r="X29" i="11"/>
  <c r="R29" i="11"/>
  <c r="O29" i="11"/>
  <c r="N29" i="11"/>
  <c r="M29" i="11"/>
  <c r="Z29" i="11" s="1"/>
  <c r="L29" i="11"/>
  <c r="K29" i="11"/>
  <c r="J29" i="11"/>
  <c r="I29" i="11"/>
  <c r="H29" i="11"/>
  <c r="G29" i="11"/>
  <c r="F29" i="11"/>
  <c r="E29" i="11"/>
  <c r="AD28" i="11"/>
  <c r="X28" i="11"/>
  <c r="R28" i="11"/>
  <c r="O28" i="11"/>
  <c r="N28" i="11"/>
  <c r="M28" i="11"/>
  <c r="Z28" i="11" s="1"/>
  <c r="L28" i="11"/>
  <c r="K28" i="11"/>
  <c r="J28" i="11"/>
  <c r="I28" i="11"/>
  <c r="H28" i="11"/>
  <c r="G28" i="11"/>
  <c r="F28" i="11"/>
  <c r="E28" i="11"/>
  <c r="AD27" i="11"/>
  <c r="AA27" i="11"/>
  <c r="Z27" i="11"/>
  <c r="AB27" i="11" s="1"/>
  <c r="AC27" i="11" s="1"/>
  <c r="X27" i="11"/>
  <c r="Y27" i="11" s="1"/>
  <c r="R27" i="11"/>
  <c r="O27" i="11"/>
  <c r="N27" i="11"/>
  <c r="M27" i="11"/>
  <c r="L27" i="11"/>
  <c r="K27" i="11"/>
  <c r="J27" i="11"/>
  <c r="I27" i="11"/>
  <c r="H27" i="11"/>
  <c r="G27" i="11"/>
  <c r="F27" i="11"/>
  <c r="E27" i="11"/>
  <c r="AD26" i="11"/>
  <c r="X26" i="11"/>
  <c r="R26" i="11"/>
  <c r="O26" i="11"/>
  <c r="N26" i="11"/>
  <c r="M26" i="11"/>
  <c r="Z26" i="11" s="1"/>
  <c r="L26" i="11"/>
  <c r="K26" i="11"/>
  <c r="J26" i="11"/>
  <c r="I26" i="11"/>
  <c r="H26" i="11"/>
  <c r="G26" i="11"/>
  <c r="F26" i="11"/>
  <c r="E26" i="11"/>
  <c r="AD25" i="11"/>
  <c r="X25" i="11"/>
  <c r="R25" i="11"/>
  <c r="O25" i="11"/>
  <c r="N25" i="11"/>
  <c r="M25" i="11"/>
  <c r="Z25" i="11" s="1"/>
  <c r="L25" i="11"/>
  <c r="K25" i="11"/>
  <c r="J25" i="11"/>
  <c r="I25" i="11"/>
  <c r="H25" i="11"/>
  <c r="G25" i="11"/>
  <c r="F25" i="11"/>
  <c r="E25" i="11"/>
  <c r="AD24" i="11"/>
  <c r="X24" i="11"/>
  <c r="R24" i="11"/>
  <c r="O24" i="11"/>
  <c r="N24" i="11"/>
  <c r="M24" i="11"/>
  <c r="Z24" i="11" s="1"/>
  <c r="L24" i="11"/>
  <c r="K24" i="11"/>
  <c r="J24" i="11"/>
  <c r="I24" i="11"/>
  <c r="H24" i="11"/>
  <c r="G24" i="11"/>
  <c r="F24" i="11"/>
  <c r="E24" i="11"/>
  <c r="AD23" i="11"/>
  <c r="X23" i="11"/>
  <c r="R23" i="11"/>
  <c r="O23" i="11"/>
  <c r="N23" i="11"/>
  <c r="M23" i="11"/>
  <c r="Z23" i="11" s="1"/>
  <c r="L23" i="11"/>
  <c r="K23" i="11"/>
  <c r="J23" i="11"/>
  <c r="I23" i="11"/>
  <c r="H23" i="11"/>
  <c r="G23" i="11"/>
  <c r="F23" i="11"/>
  <c r="E23" i="11"/>
  <c r="AD22" i="11"/>
  <c r="X22" i="11"/>
  <c r="R22" i="11"/>
  <c r="O22" i="11"/>
  <c r="N22" i="11"/>
  <c r="M22" i="11"/>
  <c r="Z22" i="11" s="1"/>
  <c r="L22" i="11"/>
  <c r="K22" i="11"/>
  <c r="J22" i="11"/>
  <c r="I22" i="11"/>
  <c r="H22" i="11"/>
  <c r="G22" i="11"/>
  <c r="F22" i="11"/>
  <c r="E22" i="11"/>
  <c r="AD21" i="11"/>
  <c r="X21" i="11"/>
  <c r="R21" i="11"/>
  <c r="O21" i="11"/>
  <c r="N21" i="11"/>
  <c r="M21" i="11"/>
  <c r="Z21" i="11" s="1"/>
  <c r="L21" i="11"/>
  <c r="K21" i="11"/>
  <c r="J21" i="11"/>
  <c r="I21" i="11"/>
  <c r="H21" i="11"/>
  <c r="G21" i="11"/>
  <c r="F21" i="11"/>
  <c r="E21" i="11"/>
  <c r="AD20" i="11"/>
  <c r="X20" i="11"/>
  <c r="R20" i="11"/>
  <c r="O20" i="11"/>
  <c r="N20" i="11"/>
  <c r="M20" i="11"/>
  <c r="Z20" i="11" s="1"/>
  <c r="L20" i="11"/>
  <c r="K20" i="11"/>
  <c r="J20" i="11"/>
  <c r="I20" i="11"/>
  <c r="H20" i="11"/>
  <c r="G20" i="11"/>
  <c r="F20" i="11"/>
  <c r="E20" i="11"/>
  <c r="AD19" i="11"/>
  <c r="X19" i="11"/>
  <c r="R19" i="11"/>
  <c r="O19" i="11"/>
  <c r="N19" i="11"/>
  <c r="M19" i="11"/>
  <c r="Z19" i="11" s="1"/>
  <c r="L19" i="11"/>
  <c r="K19" i="11"/>
  <c r="J19" i="11"/>
  <c r="I19" i="11"/>
  <c r="H19" i="11"/>
  <c r="G19" i="11"/>
  <c r="F19" i="11"/>
  <c r="E19" i="11"/>
  <c r="AD18" i="11"/>
  <c r="AA18" i="11"/>
  <c r="Z18" i="11"/>
  <c r="AB18" i="11" s="1"/>
  <c r="AC18" i="11" s="1"/>
  <c r="Y18" i="11"/>
  <c r="X18" i="11"/>
  <c r="R18" i="11"/>
  <c r="O18" i="11"/>
  <c r="N18" i="11"/>
  <c r="M18" i="11"/>
  <c r="L18" i="11"/>
  <c r="K18" i="11"/>
  <c r="J18" i="11"/>
  <c r="I18" i="11"/>
  <c r="H18" i="11"/>
  <c r="G18" i="11"/>
  <c r="F18" i="11"/>
  <c r="E18" i="11"/>
  <c r="AD17" i="11"/>
  <c r="X17" i="11"/>
  <c r="R17" i="11"/>
  <c r="O17" i="11"/>
  <c r="N17" i="11"/>
  <c r="M17" i="11"/>
  <c r="Z17" i="11" s="1"/>
  <c r="L17" i="11"/>
  <c r="K17" i="11"/>
  <c r="J17" i="11"/>
  <c r="I17" i="11"/>
  <c r="H17" i="11"/>
  <c r="G17" i="11"/>
  <c r="F17" i="11"/>
  <c r="E17" i="11"/>
  <c r="AD16" i="11"/>
  <c r="X16" i="11"/>
  <c r="R16" i="11"/>
  <c r="O16" i="11"/>
  <c r="N16" i="11"/>
  <c r="M16" i="11"/>
  <c r="Z16" i="11" s="1"/>
  <c r="L16" i="11"/>
  <c r="K16" i="11"/>
  <c r="J16" i="11"/>
  <c r="I16" i="11"/>
  <c r="H16" i="11"/>
  <c r="G16" i="11"/>
  <c r="F16" i="11"/>
  <c r="E16" i="11"/>
  <c r="AD15" i="11"/>
  <c r="X15" i="11"/>
  <c r="R15" i="11"/>
  <c r="O15" i="11"/>
  <c r="N15" i="11"/>
  <c r="M15" i="11"/>
  <c r="Z15" i="11" s="1"/>
  <c r="L15" i="11"/>
  <c r="K15" i="11"/>
  <c r="J15" i="11"/>
  <c r="I15" i="11"/>
  <c r="H15" i="11"/>
  <c r="G15" i="11"/>
  <c r="F15" i="11"/>
  <c r="E15" i="11"/>
  <c r="AD14" i="11"/>
  <c r="X14" i="11"/>
  <c r="R14" i="11"/>
  <c r="O14" i="11"/>
  <c r="N14" i="11"/>
  <c r="M14" i="11"/>
  <c r="Z14" i="11" s="1"/>
  <c r="L14" i="11"/>
  <c r="K14" i="11"/>
  <c r="J14" i="11"/>
  <c r="I14" i="11"/>
  <c r="H14" i="11"/>
  <c r="G14" i="11"/>
  <c r="F14" i="11"/>
  <c r="E14" i="11"/>
  <c r="AD13" i="11"/>
  <c r="X13" i="11"/>
  <c r="R13" i="11"/>
  <c r="O13" i="11"/>
  <c r="N13" i="11"/>
  <c r="M13" i="11"/>
  <c r="Z13" i="11" s="1"/>
  <c r="L13" i="11"/>
  <c r="K13" i="11"/>
  <c r="J13" i="11"/>
  <c r="I13" i="11"/>
  <c r="H13" i="11"/>
  <c r="G13" i="11"/>
  <c r="F13" i="11"/>
  <c r="E13" i="11"/>
  <c r="AD12" i="11"/>
  <c r="X12" i="11"/>
  <c r="R12" i="11"/>
  <c r="O12" i="11"/>
  <c r="N12" i="11"/>
  <c r="M12" i="11"/>
  <c r="Z12" i="11" s="1"/>
  <c r="L12" i="11"/>
  <c r="K12" i="11"/>
  <c r="J12" i="11"/>
  <c r="I12" i="11"/>
  <c r="H12" i="11"/>
  <c r="G12" i="11"/>
  <c r="F12" i="11"/>
  <c r="E12" i="11"/>
  <c r="AD11" i="11"/>
  <c r="X11" i="11"/>
  <c r="R11" i="11"/>
  <c r="O11" i="11"/>
  <c r="N11" i="11"/>
  <c r="M11" i="11"/>
  <c r="Z11" i="11" s="1"/>
  <c r="L11" i="11"/>
  <c r="K11" i="11"/>
  <c r="J11" i="11"/>
  <c r="I11" i="11"/>
  <c r="H11" i="11"/>
  <c r="G11" i="11"/>
  <c r="F11" i="11"/>
  <c r="E11" i="11"/>
  <c r="AD10" i="11"/>
  <c r="X10" i="11"/>
  <c r="R10" i="11"/>
  <c r="O10" i="11"/>
  <c r="N10" i="11"/>
  <c r="M10" i="11"/>
  <c r="Z10" i="11" s="1"/>
  <c r="L10" i="11"/>
  <c r="K10" i="11"/>
  <c r="J10" i="11"/>
  <c r="I10" i="11"/>
  <c r="H10" i="11"/>
  <c r="G10" i="11"/>
  <c r="F10" i="11"/>
  <c r="E10" i="11"/>
  <c r="AD9" i="11"/>
  <c r="X9" i="11"/>
  <c r="R9" i="11"/>
  <c r="O9" i="11"/>
  <c r="N9" i="11"/>
  <c r="M9" i="11"/>
  <c r="Z9" i="11" s="1"/>
  <c r="L9" i="11"/>
  <c r="K9" i="11"/>
  <c r="J9" i="11"/>
  <c r="I9" i="11"/>
  <c r="H9" i="11"/>
  <c r="G9" i="11"/>
  <c r="F9" i="11"/>
  <c r="E9" i="11"/>
  <c r="AD8" i="11"/>
  <c r="X8" i="11"/>
  <c r="R8" i="11"/>
  <c r="O8" i="11"/>
  <c r="N8" i="11"/>
  <c r="M8" i="11"/>
  <c r="Z8" i="11" s="1"/>
  <c r="L8" i="11"/>
  <c r="K8" i="11"/>
  <c r="J8" i="11"/>
  <c r="I8" i="11"/>
  <c r="H8" i="11"/>
  <c r="G8" i="11"/>
  <c r="F8" i="11"/>
  <c r="E8" i="11"/>
  <c r="AD7" i="11"/>
  <c r="X7" i="11"/>
  <c r="R7" i="11"/>
  <c r="O7" i="11"/>
  <c r="N7" i="11"/>
  <c r="M7" i="11"/>
  <c r="Z7" i="11" s="1"/>
  <c r="L7" i="11"/>
  <c r="K7" i="11"/>
  <c r="J7" i="11"/>
  <c r="I7" i="11"/>
  <c r="H7" i="11"/>
  <c r="G7" i="11"/>
  <c r="F7" i="11"/>
  <c r="E7" i="11"/>
  <c r="AD6" i="11"/>
  <c r="X6" i="11"/>
  <c r="R6" i="11"/>
  <c r="O6" i="11"/>
  <c r="N6" i="11"/>
  <c r="M6" i="11"/>
  <c r="Z6" i="11" s="1"/>
  <c r="L6" i="11"/>
  <c r="K6" i="11"/>
  <c r="J6" i="11"/>
  <c r="I6" i="11"/>
  <c r="H6" i="11"/>
  <c r="G6" i="11"/>
  <c r="F6" i="11"/>
  <c r="E6" i="11"/>
  <c r="AD5" i="11"/>
  <c r="X5" i="11"/>
  <c r="R5" i="11"/>
  <c r="O5" i="11"/>
  <c r="N5" i="11"/>
  <c r="M5" i="11"/>
  <c r="Z5" i="11" s="1"/>
  <c r="L5" i="11"/>
  <c r="K5" i="11"/>
  <c r="J5" i="11"/>
  <c r="I5" i="11"/>
  <c r="H5" i="11"/>
  <c r="G5" i="11"/>
  <c r="F5" i="11"/>
  <c r="E5" i="11"/>
  <c r="AA104" i="11" l="1"/>
  <c r="AB104" i="11" s="1"/>
  <c r="AC104" i="11" s="1"/>
  <c r="Y104" i="11"/>
  <c r="AA103" i="11"/>
  <c r="AB103" i="11" s="1"/>
  <c r="AC103" i="11" s="1"/>
  <c r="Y103" i="11"/>
  <c r="Y102" i="11"/>
  <c r="AA102" i="11"/>
  <c r="AB102" i="11" s="1"/>
  <c r="AC102" i="11" s="1"/>
  <c r="AA101" i="11"/>
  <c r="AB101" i="11" s="1"/>
  <c r="AC101" i="11" s="1"/>
  <c r="Y101" i="11"/>
  <c r="AA100" i="11"/>
  <c r="AB100" i="11" s="1"/>
  <c r="AC100" i="11" s="1"/>
  <c r="Y100" i="11"/>
  <c r="AA99" i="11"/>
  <c r="AB99" i="11" s="1"/>
  <c r="AC99" i="11" s="1"/>
  <c r="Y99" i="11"/>
  <c r="AA98" i="11"/>
  <c r="AB98" i="11" s="1"/>
  <c r="AC98" i="11" s="1"/>
  <c r="Y98" i="11"/>
  <c r="Y97" i="11"/>
  <c r="AA97" i="11"/>
  <c r="AB97" i="11" s="1"/>
  <c r="AC97" i="11" s="1"/>
  <c r="AA96" i="11"/>
  <c r="AB96" i="11" s="1"/>
  <c r="AC96" i="11" s="1"/>
  <c r="Y96" i="11"/>
  <c r="Y95" i="11"/>
  <c r="AA95" i="11"/>
  <c r="AB95" i="11" s="1"/>
  <c r="AC95" i="11" s="1"/>
  <c r="Y94" i="11"/>
  <c r="AA94" i="11"/>
  <c r="AB94" i="11" s="1"/>
  <c r="AC94" i="11" s="1"/>
  <c r="AA93" i="11"/>
  <c r="AB93" i="11" s="1"/>
  <c r="AC93" i="11" s="1"/>
  <c r="Y93" i="11"/>
  <c r="AA92" i="11"/>
  <c r="AB92" i="11" s="1"/>
  <c r="AC92" i="11" s="1"/>
  <c r="Y92" i="11"/>
  <c r="AA91" i="11"/>
  <c r="AB91" i="11" s="1"/>
  <c r="AC91" i="11" s="1"/>
  <c r="Y91" i="11"/>
  <c r="AA90" i="11"/>
  <c r="AB90" i="11" s="1"/>
  <c r="AC90" i="11" s="1"/>
  <c r="Y90" i="11"/>
  <c r="AA89" i="11"/>
  <c r="AB89" i="11" s="1"/>
  <c r="AC89" i="11" s="1"/>
  <c r="Y89" i="11"/>
  <c r="AA88" i="11"/>
  <c r="Y88" i="11"/>
  <c r="Y87" i="11"/>
  <c r="AA87" i="11"/>
  <c r="AB87" i="11" s="1"/>
  <c r="AC87" i="11" s="1"/>
  <c r="AA86" i="11"/>
  <c r="AB86" i="11" s="1"/>
  <c r="AC86" i="11" s="1"/>
  <c r="Y86" i="11"/>
  <c r="AA85" i="11"/>
  <c r="AB85" i="11" s="1"/>
  <c r="AC85" i="11" s="1"/>
  <c r="Y85" i="11"/>
  <c r="Y84" i="11"/>
  <c r="AA84" i="11"/>
  <c r="AA83" i="11"/>
  <c r="Y83" i="11"/>
  <c r="Y82" i="11"/>
  <c r="AA82" i="11"/>
  <c r="AB82" i="11" s="1"/>
  <c r="AC82" i="11" s="1"/>
  <c r="AA81" i="11"/>
  <c r="Y81" i="11"/>
  <c r="AA80" i="11"/>
  <c r="Y80" i="11"/>
  <c r="AA79" i="11"/>
  <c r="Y79" i="11"/>
  <c r="Y78" i="11"/>
  <c r="AA78" i="11"/>
  <c r="AA76" i="11"/>
  <c r="Y76" i="11"/>
  <c r="Y75" i="11"/>
  <c r="AA75" i="11"/>
  <c r="AA74" i="11"/>
  <c r="Y74" i="11"/>
  <c r="AA73" i="11"/>
  <c r="Y73" i="11"/>
  <c r="AA72" i="11"/>
  <c r="Y72" i="11"/>
  <c r="AA71" i="11"/>
  <c r="Y71" i="11"/>
  <c r="AA70" i="11"/>
  <c r="Y70" i="11"/>
  <c r="AA69" i="11"/>
  <c r="Y69" i="11"/>
  <c r="AA67" i="11"/>
  <c r="Y67" i="11"/>
  <c r="AA66" i="11"/>
  <c r="Y66" i="11"/>
  <c r="Y65" i="11"/>
  <c r="AA65" i="11"/>
  <c r="AA64" i="11"/>
  <c r="Y64" i="11"/>
  <c r="AA63" i="11"/>
  <c r="Y63" i="11"/>
  <c r="AA62" i="11"/>
  <c r="Y62" i="11"/>
  <c r="AA61" i="11"/>
  <c r="Y61" i="11"/>
  <c r="Y60" i="11"/>
  <c r="AA60" i="11"/>
  <c r="Y59" i="11"/>
  <c r="AA59" i="11"/>
  <c r="AB59" i="11" s="1"/>
  <c r="AC59" i="11" s="1"/>
  <c r="AA58" i="11"/>
  <c r="Y58" i="11"/>
  <c r="Y57" i="11"/>
  <c r="AA57" i="11"/>
  <c r="Y56" i="11"/>
  <c r="AA56" i="11"/>
  <c r="AA55" i="11"/>
  <c r="Y55" i="11"/>
  <c r="AA54" i="11"/>
  <c r="Y54" i="11"/>
  <c r="Y53" i="11"/>
  <c r="AA53" i="11"/>
  <c r="Y52" i="11"/>
  <c r="AA52" i="11"/>
  <c r="Y51" i="11"/>
  <c r="AA51" i="11"/>
  <c r="Y50" i="11"/>
  <c r="AA50" i="11"/>
  <c r="AB50" i="11" s="1"/>
  <c r="AC50" i="11" s="1"/>
  <c r="Y49" i="11"/>
  <c r="AA49" i="11"/>
  <c r="Y48" i="11"/>
  <c r="AA48" i="11"/>
  <c r="AA47" i="11"/>
  <c r="Y47" i="11"/>
  <c r="AA46" i="11"/>
  <c r="Y46" i="11"/>
  <c r="AA45" i="11"/>
  <c r="Y45" i="11"/>
  <c r="Y44" i="11"/>
  <c r="AA44" i="11"/>
  <c r="AA43" i="11"/>
  <c r="Y43" i="11"/>
  <c r="Y42" i="11"/>
  <c r="AA42" i="11"/>
  <c r="AA41" i="11"/>
  <c r="Y41" i="11"/>
  <c r="AA40" i="11"/>
  <c r="Y40" i="11"/>
  <c r="AA39" i="11"/>
  <c r="Y39" i="11"/>
  <c r="AA38" i="11"/>
  <c r="Y38" i="11"/>
  <c r="Y37" i="11"/>
  <c r="AA37" i="11"/>
  <c r="Y36" i="11"/>
  <c r="AA36" i="11"/>
  <c r="AB36" i="11" s="1"/>
  <c r="AC36" i="11" s="1"/>
  <c r="Y35" i="11"/>
  <c r="AA35" i="11"/>
  <c r="Y34" i="11"/>
  <c r="AA34" i="11"/>
  <c r="AA33" i="11"/>
  <c r="Y33" i="11"/>
  <c r="Y32" i="11"/>
  <c r="AA32" i="11"/>
  <c r="Y31" i="11"/>
  <c r="AA31" i="11"/>
  <c r="AB31" i="11" s="1"/>
  <c r="AC31" i="11" s="1"/>
  <c r="AA30" i="11"/>
  <c r="AB30" i="11" s="1"/>
  <c r="AC30" i="11" s="1"/>
  <c r="Y30" i="11"/>
  <c r="AA29" i="11"/>
  <c r="AB29" i="11" s="1"/>
  <c r="AC29" i="11" s="1"/>
  <c r="Y29" i="11"/>
  <c r="AA28" i="11"/>
  <c r="AB28" i="11" s="1"/>
  <c r="AC28" i="11" s="1"/>
  <c r="Y28" i="11"/>
  <c r="Y26" i="11"/>
  <c r="AA26" i="11"/>
  <c r="AA25" i="11"/>
  <c r="AB25" i="11" s="1"/>
  <c r="AC25" i="11" s="1"/>
  <c r="Y25" i="11"/>
  <c r="AA24" i="11"/>
  <c r="AB24" i="11" s="1"/>
  <c r="AC24" i="11" s="1"/>
  <c r="Y24" i="11"/>
  <c r="AA23" i="11"/>
  <c r="AB23" i="11" s="1"/>
  <c r="AC23" i="11" s="1"/>
  <c r="Y23" i="11"/>
  <c r="Y22" i="11"/>
  <c r="AA22" i="11"/>
  <c r="AB22" i="11" s="1"/>
  <c r="AC22" i="11" s="1"/>
  <c r="AA21" i="11"/>
  <c r="AB21" i="11" s="1"/>
  <c r="AC21" i="11" s="1"/>
  <c r="Y21" i="11"/>
  <c r="Y20" i="11"/>
  <c r="AA20" i="11"/>
  <c r="AB20" i="11" s="1"/>
  <c r="AC20" i="11" s="1"/>
  <c r="Y19" i="11"/>
  <c r="AA19" i="11"/>
  <c r="AB19" i="11" s="1"/>
  <c r="AC19" i="11" s="1"/>
  <c r="AA17" i="11"/>
  <c r="AB17" i="11" s="1"/>
  <c r="AC17" i="11" s="1"/>
  <c r="Y17" i="11"/>
  <c r="Y16" i="11"/>
  <c r="AA16" i="11"/>
  <c r="AB16" i="11" s="1"/>
  <c r="AC16" i="11" s="1"/>
  <c r="AA15" i="11"/>
  <c r="AB15" i="11" s="1"/>
  <c r="AC15" i="11" s="1"/>
  <c r="Y15" i="11"/>
  <c r="Y14" i="11"/>
  <c r="AA14" i="11"/>
  <c r="AB14" i="11" s="1"/>
  <c r="AC14" i="11" s="1"/>
  <c r="AA13" i="11"/>
  <c r="AB13" i="11" s="1"/>
  <c r="AC13" i="11" s="1"/>
  <c r="Y13" i="11"/>
  <c r="AA12" i="11"/>
  <c r="AB12" i="11" s="1"/>
  <c r="AC12" i="11" s="1"/>
  <c r="Y12" i="11"/>
  <c r="Y11" i="11"/>
  <c r="AA11" i="11"/>
  <c r="AB11" i="11" s="1"/>
  <c r="AC11" i="11" s="1"/>
  <c r="Y10" i="11"/>
  <c r="AA10" i="11"/>
  <c r="AB10" i="11" s="1"/>
  <c r="AC10" i="11" s="1"/>
  <c r="Y9" i="11"/>
  <c r="AA9" i="11"/>
  <c r="AB9" i="11" s="1"/>
  <c r="AC9" i="11" s="1"/>
  <c r="AA8" i="11"/>
  <c r="AB8" i="11" s="1"/>
  <c r="AC8" i="11" s="1"/>
  <c r="Y8" i="11"/>
  <c r="Y7" i="11"/>
  <c r="AA7" i="11"/>
  <c r="AB7" i="11" s="1"/>
  <c r="AC7" i="11" s="1"/>
  <c r="AA6" i="11"/>
  <c r="AB6" i="11" s="1"/>
  <c r="AC6" i="11" s="1"/>
  <c r="Y6" i="11"/>
  <c r="AA5" i="11"/>
  <c r="AB5" i="11" s="1"/>
  <c r="AC5" i="11" s="1"/>
  <c r="Y5" i="11"/>
  <c r="AB81" i="11"/>
  <c r="AC81" i="11" s="1"/>
  <c r="AB80" i="11"/>
  <c r="AC80" i="11" s="1"/>
  <c r="AB79" i="11"/>
  <c r="AC79" i="11" s="1"/>
  <c r="AB78" i="11"/>
  <c r="AC78" i="11" s="1"/>
  <c r="AB76" i="11"/>
  <c r="AC76" i="11" s="1"/>
  <c r="AB75" i="11"/>
  <c r="AC75" i="11" s="1"/>
  <c r="AB74" i="11"/>
  <c r="AC74" i="11" s="1"/>
  <c r="AB73" i="11"/>
  <c r="AC73" i="11" s="1"/>
  <c r="AB72" i="11"/>
  <c r="AC72" i="11" s="1"/>
  <c r="AB71" i="11"/>
  <c r="AC71" i="11" s="1"/>
  <c r="AB70" i="11"/>
  <c r="AC70" i="11" s="1"/>
  <c r="AB69" i="11"/>
  <c r="AC69" i="11" s="1"/>
  <c r="AB67" i="11"/>
  <c r="AC67" i="11" s="1"/>
  <c r="AB66" i="11"/>
  <c r="AC66" i="11" s="1"/>
  <c r="AB65" i="11"/>
  <c r="AC65" i="11" s="1"/>
  <c r="AB64" i="11"/>
  <c r="AC64" i="11" s="1"/>
  <c r="AB63" i="11"/>
  <c r="AC63" i="11" s="1"/>
  <c r="AB62" i="11"/>
  <c r="AC62" i="11" s="1"/>
  <c r="AB61" i="11"/>
  <c r="AC61" i="11" s="1"/>
  <c r="AB60" i="11"/>
  <c r="AC60" i="11" s="1"/>
  <c r="AB84" i="11"/>
  <c r="AC84" i="11" s="1"/>
  <c r="AB58" i="11"/>
  <c r="AC58" i="11" s="1"/>
  <c r="AB57" i="11"/>
  <c r="AC57" i="11" s="1"/>
  <c r="AB56" i="11"/>
  <c r="AC56" i="11" s="1"/>
  <c r="AB55" i="11"/>
  <c r="AC55" i="11" s="1"/>
  <c r="AB54" i="11"/>
  <c r="AC54" i="11" s="1"/>
  <c r="AB53" i="11"/>
  <c r="AC53" i="11" s="1"/>
  <c r="AB52" i="11"/>
  <c r="AC52" i="11" s="1"/>
  <c r="AB51" i="11"/>
  <c r="AC51" i="11" s="1"/>
  <c r="AB49" i="11"/>
  <c r="AC49" i="11" s="1"/>
  <c r="AB48" i="11"/>
  <c r="AC48" i="11" s="1"/>
  <c r="AB47" i="11"/>
  <c r="AC47" i="11" s="1"/>
  <c r="AB46" i="11"/>
  <c r="AC46" i="11" s="1"/>
  <c r="AB45" i="11"/>
  <c r="AC45" i="11" s="1"/>
  <c r="AB44" i="11"/>
  <c r="AC44" i="11" s="1"/>
  <c r="AB43" i="11"/>
  <c r="AC43" i="11" s="1"/>
  <c r="AB42" i="11"/>
  <c r="AC42" i="11" s="1"/>
  <c r="AB41" i="11"/>
  <c r="AC41" i="11" s="1"/>
  <c r="AB40" i="11"/>
  <c r="AC40" i="11" s="1"/>
  <c r="AB39" i="11"/>
  <c r="AC39" i="11" s="1"/>
  <c r="AB38" i="11"/>
  <c r="AC38" i="11" s="1"/>
  <c r="AB37" i="11"/>
  <c r="AC37" i="11" s="1"/>
  <c r="AB35" i="11"/>
  <c r="AC35" i="11" s="1"/>
  <c r="AB34" i="11"/>
  <c r="AC34" i="11" s="1"/>
  <c r="AB33" i="11"/>
  <c r="AC33" i="11" s="1"/>
  <c r="AB32" i="11"/>
  <c r="AC32" i="11" s="1"/>
  <c r="AB26" i="11"/>
  <c r="AC26" i="11" s="1"/>
  <c r="AB88" i="11"/>
  <c r="AC88" i="11" s="1"/>
  <c r="AB83" i="11"/>
  <c r="AC83" i="11" s="1"/>
</calcChain>
</file>

<file path=xl/sharedStrings.xml><?xml version="1.0" encoding="utf-8"?>
<sst xmlns="http://schemas.openxmlformats.org/spreadsheetml/2006/main" count="3188" uniqueCount="1656">
  <si>
    <t>Mentor Comercial — Motor de Follow-up v1.0</t>
  </si>
  <si>
    <t>Dicionário de regras, cadências, scripts, score e simulador para validação.</t>
  </si>
  <si>
    <t>Seção</t>
  </si>
  <si>
    <t>Conteúdo</t>
  </si>
  <si>
    <t>Objetivo</t>
  </si>
  <si>
    <t>Planilha para testar a lógica do Motor de Follow-up do Mentor Comercial antes de implementar no sistema.</t>
  </si>
  <si>
    <t>Indicador</t>
  </si>
  <si>
    <t>Quantidade</t>
  </si>
  <si>
    <t>Conceito</t>
  </si>
  <si>
    <t>O vendedor informa a situação atual. O Mentor calcula objetivo, próximo passo, cadência, script, score, prioridade e integração com Central de Execução.</t>
  </si>
  <si>
    <t>Status mapeados</t>
  </si>
  <si>
    <t>Canais oficiais</t>
  </si>
  <si>
    <t>Porta, Internet e Carteira. Origens como indicação, marketplace, feirão, pós-venda e lead antigo entram como origem detalhada dentro de Carteira.</t>
  </si>
  <si>
    <t>Scripts cadastrados</t>
  </si>
  <si>
    <t>Como testar</t>
  </si>
  <si>
    <t>Use a aba '08 Teste_Clientes'. Escolha um Status ID e ajuste os campos de score/urgência para ver recomendação, prioridade e central.</t>
  </si>
  <si>
    <t>Cadências</t>
  </si>
  <si>
    <t>Fonte interna</t>
  </si>
  <si>
    <t>Regras definidas na conversa do projeto MX Performance + referência do arquivo FLUXO DE ACOMPANHAMENTO DE CLIENTES.pdf.</t>
  </si>
  <si>
    <t>Regras de transição</t>
  </si>
  <si>
    <t>Observação</t>
  </si>
  <si>
    <t>Esta é uma matriz operacional v1.0. Não é prompt final de sistema; serve para validação da lógica.</t>
  </si>
  <si>
    <t>Cenários de teste</t>
  </si>
  <si>
    <t>Família</t>
  </si>
  <si>
    <t>Qtd</t>
  </si>
  <si>
    <t>Contato</t>
  </si>
  <si>
    <t>Financiamento</t>
  </si>
  <si>
    <t>Negociação</t>
  </si>
  <si>
    <t>Perda e Futuro</t>
  </si>
  <si>
    <t>Qualificação</t>
  </si>
  <si>
    <t>Relacionamento</t>
  </si>
  <si>
    <t>Troca</t>
  </si>
  <si>
    <t>Venda e Entrega</t>
  </si>
  <si>
    <t>Visita</t>
  </si>
  <si>
    <t>Canais Comerciais Oficiais</t>
  </si>
  <si>
    <t>Canal Comercial ≠ origem detalhada. Preservar canal de entrada e canal de venda.</t>
  </si>
  <si>
    <t>Canal Comercial</t>
  </si>
  <si>
    <t>Conceito oficial</t>
  </si>
  <si>
    <t>O que mede</t>
  </si>
  <si>
    <t>Entram como origem detalhada</t>
  </si>
  <si>
    <t>Regras importantes</t>
  </si>
  <si>
    <t>Exemplos</t>
  </si>
  <si>
    <t>Porta</t>
  </si>
  <si>
    <t>Cliente que entra espontaneamente na loja, sem agendamento produzido pela equipe.</t>
  </si>
  <si>
    <t>Força de atração da loja e capacidade de conversão no atendimento presencial.</t>
  </si>
  <si>
    <t>Entrada espontânea, passagem em frente, viu anúncio/site/rede social mas foi direto à loja.</t>
  </si>
  <si>
    <t>Se não houve ação direta de agendamento do vendedor, a venda é Porta. Se não comprou na hora e depois fechou por follow-up do vendedor, o canal de venda pode ser Carteira.</t>
  </si>
  <si>
    <t>Cliente viu anúncio, não chamou no WhatsApp, foi direto à loja e comprou.</t>
  </si>
  <si>
    <t>Internet</t>
  </si>
  <si>
    <t>Lead produzido pela empresa em que o vendedor atuou para transformar contato em agendamento e visita.</t>
  </si>
  <si>
    <t>Geração de leads da empresa + capacidade do vendedor de transformar lead em visita.</t>
  </si>
  <si>
    <t>Lead do Instagram da loja, Google Ads da loja, site, portal/campanha da empresa.</t>
  </si>
  <si>
    <t>A venda é Internet quando existe lead da empresa + ação do vendedor que precede agendamento e visita.</t>
  </si>
  <si>
    <t>Lead do site recebe contato do vendedor, agenda visita e compra.</t>
  </si>
  <si>
    <t>Carteira</t>
  </si>
  <si>
    <t>Venda ou oportunidade gerada por ação direta do vendedor.</t>
  </si>
  <si>
    <t>Capacidade do vendedor de gerar negócios por relacionamento, prospecção e iniciativa própria.</t>
  </si>
  <si>
    <t>Indicação, prospecção, cliente antigo, pós-venda, garantia, lead com mais de 90 dias, anúncio próprio, marketplace próprio, OLX própria, tráfego próprio, feirão trabalhado pelo vendedor.</t>
  </si>
  <si>
    <t>Origens diversas entram como Carteira. Preservar canal de entrada e canal de venda separados.</t>
  </si>
  <si>
    <t>Lead antigo de Internet é reativado após 90 dias e compra: canalEntrada=Internet, canalVenda=Carteira.</t>
  </si>
  <si>
    <t>Dicionário de Status e Decisão do Mentor</t>
  </si>
  <si>
    <t>Cada status gera objetivo, próximo passo, cadência, script e regra de Central.</t>
  </si>
  <si>
    <t>Status ID</t>
  </si>
  <si>
    <t>Canal</t>
  </si>
  <si>
    <t>Status atual</t>
  </si>
  <si>
    <t>Definição / quando usar</t>
  </si>
  <si>
    <t>Origem</t>
  </si>
  <si>
    <t>Responsável atual</t>
  </si>
  <si>
    <t>Temperatura</t>
  </si>
  <si>
    <t>Objetivo atual</t>
  </si>
  <si>
    <t>Próximo passo</t>
  </si>
  <si>
    <t>Cadência</t>
  </si>
  <si>
    <t>Script base</t>
  </si>
  <si>
    <t>Potencial</t>
  </si>
  <si>
    <t>Entra na Central quando</t>
  </si>
  <si>
    <t>Ativo na Carteira</t>
  </si>
  <si>
    <t>Orientação do Mentor</t>
  </si>
  <si>
    <t>Resultados principais</t>
  </si>
  <si>
    <t>Observações / regras</t>
  </si>
  <si>
    <t>INT-C01</t>
  </si>
  <si>
    <t>Primeiro contato pendente</t>
  </si>
  <si>
    <t>Lead cadastrado e nenhuma tentativa efetiva realizada</t>
  </si>
  <si>
    <t>Automático</t>
  </si>
  <si>
    <t>Vendedor</t>
  </si>
  <si>
    <t>Morno</t>
  </si>
  <si>
    <t>Iniciar conversa</t>
  </si>
  <si>
    <t>Enviar primeira abordagem</t>
  </si>
  <si>
    <t>CAD-01</t>
  </si>
  <si>
    <t>SCR-INT-CAD01-T1</t>
  </si>
  <si>
    <t>Baixo</t>
  </si>
  <si>
    <t>Próxima ação hoje</t>
  </si>
  <si>
    <t>Sim</t>
  </si>
  <si>
    <t>O objetivo é iniciar conversa sem parecer cobrança.</t>
  </si>
  <si>
    <t>Mensagem enviada; Cliente respondeu; Número inválido; Não deseja contato</t>
  </si>
  <si>
    <t>INT-C02</t>
  </si>
  <si>
    <t>Sem resposta — cadência ativa</t>
  </si>
  <si>
    <t>Vendedor enviou mensagem e cliente ainda não respondeu</t>
  </si>
  <si>
    <t>Derivado/Informado</t>
  </si>
  <si>
    <t>Cliente</t>
  </si>
  <si>
    <t>Morno/Frio</t>
  </si>
  <si>
    <t>Executar tentativa atual</t>
  </si>
  <si>
    <t>SCR-INT-CAD01-T{n}</t>
  </si>
  <si>
    <t>Tentativa da cadência vence hoje</t>
  </si>
  <si>
    <t>Execute a próxima tentativa sem mudar o status se o cliente não respondeu.</t>
  </si>
  <si>
    <t>Cliente respondeu; Sem resposta; Cadência concluída</t>
  </si>
  <si>
    <t>Não penalizar score se a tentativa foi executada no prazo.</t>
  </si>
  <si>
    <t>INT-C03</t>
  </si>
  <si>
    <t>Resposta recebida — atendimento pendente</t>
  </si>
  <si>
    <t>Cliente respondeu e precisa ser tratado pelo vendedor</t>
  </si>
  <si>
    <t>Automático/Informado</t>
  </si>
  <si>
    <t>Entender a situação</t>
  </si>
  <si>
    <t>Responder e atualizar status</t>
  </si>
  <si>
    <t>Ação imediata</t>
  </si>
  <si>
    <t>SCR-QUAL-01</t>
  </si>
  <si>
    <t>Médio</t>
  </si>
  <si>
    <t>Imediatamente/Hoje</t>
  </si>
  <si>
    <t>Cliente respondeu: a bola está com o vendedor.</t>
  </si>
  <si>
    <t>Qualificação; Visita; Proposta; Outra situação</t>
  </si>
  <si>
    <t>Prioridade sobe e score cai se o vendedor não tratar dentro do SLA.</t>
  </si>
  <si>
    <t>INT-C04</t>
  </si>
  <si>
    <t>Contato inválido</t>
  </si>
  <si>
    <t>Telefone ou WhatsApp não permite contato</t>
  </si>
  <si>
    <t>Informado</t>
  </si>
  <si>
    <t>-</t>
  </si>
  <si>
    <t>Validar contato</t>
  </si>
  <si>
    <t>Corrigir telefone ou confirmar impossibilidade</t>
  </si>
  <si>
    <t>Verificação única</t>
  </si>
  <si>
    <t>SCR-INTERNO</t>
  </si>
  <si>
    <t>Quando informado</t>
  </si>
  <si>
    <t>Confirme se existe outro número antes de encerrar.</t>
  </si>
  <si>
    <t>Corrigiu contato; Encerrar</t>
  </si>
  <si>
    <t>INT-C05</t>
  </si>
  <si>
    <t>Cliente não deseja contato</t>
  </si>
  <si>
    <t>Cliente solicitou interrupção das mensagens</t>
  </si>
  <si>
    <t>Encerrado</t>
  </si>
  <si>
    <t>Respeitar solicitação</t>
  </si>
  <si>
    <t>Encerrar contato</t>
  </si>
  <si>
    <t>Sem cadência</t>
  </si>
  <si>
    <t>Não entra</t>
  </si>
  <si>
    <t>Não</t>
  </si>
  <si>
    <t>Não insistir. Preservar histórico.</t>
  </si>
  <si>
    <t>Encerrar</t>
  </si>
  <si>
    <t>INT-C06</t>
  </si>
  <si>
    <t>Cadência concluída sem resposta</t>
  </si>
  <si>
    <t>Todas as tentativas foram executadas sem retorno</t>
  </si>
  <si>
    <t>Frio</t>
  </si>
  <si>
    <t>Preservar oportunidade</t>
  </si>
  <si>
    <t>Retirar da Carteira Ativa</t>
  </si>
  <si>
    <t>Sem ação imediata</t>
  </si>
  <si>
    <t>Cliente sai da rotina diária, mas pode virar missão futura.</t>
  </si>
  <si>
    <t>Plano de Ataque futuro</t>
  </si>
  <si>
    <t>Não transformar automaticamente em perda.</t>
  </si>
  <si>
    <t>INT-Q01</t>
  </si>
  <si>
    <t>Qualificação inicial pendente</t>
  </si>
  <si>
    <t>Cliente respondeu, mas ainda não há informações suficientes</t>
  </si>
  <si>
    <t>Entender necessidade</t>
  </si>
  <si>
    <t>Perguntar uso e prazo</t>
  </si>
  <si>
    <t>CAD-04</t>
  </si>
  <si>
    <t>Antes de falar de preço, entenda uso, prazo e necessidade.</t>
  </si>
  <si>
    <t>Veículo não definido; Veículo definido; Compra futura</t>
  </si>
  <si>
    <t>INT-Q02</t>
  </si>
  <si>
    <t>Veículo ainda não definido</t>
  </si>
  <si>
    <t>Uso e intenção conhecidos, mas modelo/categoria não definidos</t>
  </si>
  <si>
    <t>Definir solução</t>
  </si>
  <si>
    <t>Identificar modelo, categoria e faixa</t>
  </si>
  <si>
    <t>SCR-QUAL-02</t>
  </si>
  <si>
    <t>Tentativa vence hoje</t>
  </si>
  <si>
    <t>Ajude o cliente a escolher antes de pressionar por visita.</t>
  </si>
  <si>
    <t>Veículo definido; Compra futura; Aguardando veículo compatível</t>
  </si>
  <si>
    <t>INT-Q03</t>
  </si>
  <si>
    <t>Veículo definido — condição não qualificada</t>
  </si>
  <si>
    <t>Veículo conhecido, mas faltam prazo, orçamento, troca ou financiamento</t>
  </si>
  <si>
    <t>Entender viabilidade</t>
  </si>
  <si>
    <t>Perguntar prazo, troca e financiamento</t>
  </si>
  <si>
    <t>SCR-QUAL-03</t>
  </si>
  <si>
    <t>Complete a qualificação para saber o melhor próximo passo.</t>
  </si>
  <si>
    <t>Cliente qualificado; Troca; Financiamento; Compra futura</t>
  </si>
  <si>
    <t>INT-Q04</t>
  </si>
  <si>
    <t>Cliente qualificado sem visita</t>
  </si>
  <si>
    <t>Necessidade, veículo e prazo conhecidos, mas não existe visita</t>
  </si>
  <si>
    <t>Sugerido</t>
  </si>
  <si>
    <t>Quente</t>
  </si>
  <si>
    <t>Gerar visita</t>
  </si>
  <si>
    <t>Convidar para visita</t>
  </si>
  <si>
    <t>CAD-02</t>
  </si>
  <si>
    <t>SCR-VISITA-CAD02-T1</t>
  </si>
  <si>
    <t>Alto</t>
  </si>
  <si>
    <t>Transforme a qualificação em compromisso presencial.</t>
  </si>
  <si>
    <t>Visita em definição; Visita agendada; Não quer visitar</t>
  </si>
  <si>
    <t>INT-Q05</t>
  </si>
  <si>
    <t>Compra planejada para o futuro</t>
  </si>
  <si>
    <t>Cliente declarou que não comprará agora</t>
  </si>
  <si>
    <t>Data</t>
  </si>
  <si>
    <t>Frio/Morno</t>
  </si>
  <si>
    <t>Programar data de retomada</t>
  </si>
  <si>
    <t>CAD-12</t>
  </si>
  <si>
    <t>SCR-FUTURO-01</t>
  </si>
  <si>
    <t>Quando a data chegar</t>
  </si>
  <si>
    <t>Não até ativar</t>
  </si>
  <si>
    <t>Não force agora. Programe o retorno para o momento certo.</t>
  </si>
  <si>
    <t>Contato futuro programado</t>
  </si>
  <si>
    <t>INT-Q06</t>
  </si>
  <si>
    <t>Aguardando veículo compatível</t>
  </si>
  <si>
    <t>Cliente qualificado, mas não há veículo adequado disponível</t>
  </si>
  <si>
    <t>Loja</t>
  </si>
  <si>
    <t>Encontrar produto</t>
  </si>
  <si>
    <t>Registrar critérios e criar alerta</t>
  </si>
  <si>
    <t>Verificação periódica</t>
  </si>
  <si>
    <t>Quando veículo compatível surgir</t>
  </si>
  <si>
    <t>Defina critérios claros para não perder a oportunidade.</t>
  </si>
  <si>
    <t>Veículo encontrado; Futuro</t>
  </si>
  <si>
    <t>INT-Q07</t>
  </si>
  <si>
    <t>Interesse enfraquecido</t>
  </si>
  <si>
    <t>Cliente respondeu, mas não demonstra prioridade ou prazo</t>
  </si>
  <si>
    <t>Definir continuidade</t>
  </si>
  <si>
    <t>Confirmar se ainda deseja acompanhamento</t>
  </si>
  <si>
    <t>CAD-03</t>
  </si>
  <si>
    <t>SCR-REATIVACAO-CAD03-T1</t>
  </si>
  <si>
    <t>Descubra se há oportunidade real ou se deve programar futuro.</t>
  </si>
  <si>
    <t>Retoma; Futuro; Encerrar</t>
  </si>
  <si>
    <t>INT-Q08</t>
  </si>
  <si>
    <t>Cliente quente sem visita</t>
  </si>
  <si>
    <t>Existe intenção clara de compra e falta gerar compromisso presencial</t>
  </si>
  <si>
    <t>Cliente tem intenção. O próximo avanço é presença na loja.</t>
  </si>
  <si>
    <t>Visita em definição; Visita agendada; Objeção</t>
  </si>
  <si>
    <t>INT-V01</t>
  </si>
  <si>
    <t>Data da visita em definição</t>
  </si>
  <si>
    <t>Cliente aceitou visitar, mas ainda não definiu dia e hora</t>
  </si>
  <si>
    <t>Vendedor/Cliente</t>
  </si>
  <si>
    <t>Definir compromisso</t>
  </si>
  <si>
    <t>Oferecer duas opções de horário</t>
  </si>
  <si>
    <t>CAD-05</t>
  </si>
  <si>
    <t>SCR-VISITA-DATA-T1</t>
  </si>
  <si>
    <t>Não deixe o aceite sem data; transforme intenção em agenda.</t>
  </si>
  <si>
    <t>Agendou; Pediu para definir depois; Desistiu</t>
  </si>
  <si>
    <t>INT-V02</t>
  </si>
  <si>
    <t>Visita agendada</t>
  </si>
  <si>
    <t>Existe data futura superior à janela de confirmação</t>
  </si>
  <si>
    <t>Preservar compromisso</t>
  </si>
  <si>
    <t>Aguardar janela de confirmação</t>
  </si>
  <si>
    <t>Derivada pela data</t>
  </si>
  <si>
    <t>SCR-CONFIRMAR-D2</t>
  </si>
  <si>
    <t>Somente quando entrar D-2/D-1/D0</t>
  </si>
  <si>
    <t>Visita futura cadastrada fortalece a carteira, mas só vira Central no dia/janela certa.</t>
  </si>
  <si>
    <t>D-2; Reagendou; Cancelou</t>
  </si>
  <si>
    <t>INT-V03</t>
  </si>
  <si>
    <t>Visita a confirmar</t>
  </si>
  <si>
    <t>Visita entrou na janela D-2 ou D-1</t>
  </si>
  <si>
    <t>Derivado</t>
  </si>
  <si>
    <t>Confirmar visita</t>
  </si>
  <si>
    <t>CAD-06</t>
  </si>
  <si>
    <t>SCR-CONFIRMAR-D1</t>
  </si>
  <si>
    <t>Hoje</t>
  </si>
  <si>
    <t>Proteja o comparecimento. Cliente marcado e não confirmado é risco.</t>
  </si>
  <si>
    <t>Confirmou; Reagendou; Cancelou</t>
  </si>
  <si>
    <t>INT-V04</t>
  </si>
  <si>
    <t>Visita confirmada</t>
  </si>
  <si>
    <t>Cliente confirmou presença</t>
  </si>
  <si>
    <t>Cliente/Data</t>
  </si>
  <si>
    <t>Preparar atendimento</t>
  </si>
  <si>
    <t>Aguardar data</t>
  </si>
  <si>
    <t>Derivada</t>
  </si>
  <si>
    <t>SCR-CONFIRMAR-D0</t>
  </si>
  <si>
    <t>Quando for hoje</t>
  </si>
  <si>
    <t>Prepare o atendimento e mantenha o compromisso vivo.</t>
  </si>
  <si>
    <t>Visita hoje; Cancelou; Reagendou</t>
  </si>
  <si>
    <t>INT-V05</t>
  </si>
  <si>
    <t>Visita hoje</t>
  </si>
  <si>
    <t>Data do agendamento é hoje</t>
  </si>
  <si>
    <t>Realizar atendimento</t>
  </si>
  <si>
    <t>Recepcionar cliente</t>
  </si>
  <si>
    <t>Central de Execução</t>
  </si>
  <si>
    <t>SCR-VISITA-HOJE</t>
  </si>
  <si>
    <t>Muito alto</t>
  </si>
  <si>
    <t>Prioridade do dia: atender e registrar o desfecho.</t>
  </si>
  <si>
    <t>Compareceu; Não compareceu; Reagendou</t>
  </si>
  <si>
    <t>INT-V06</t>
  </si>
  <si>
    <t>Visita cancelada pelo cliente</t>
  </si>
  <si>
    <t>Cliente avisou que não poderá comparecer</t>
  </si>
  <si>
    <t>Morno/Quente</t>
  </si>
  <si>
    <t>Recuperar compromisso</t>
  </si>
  <si>
    <t>Reagendar</t>
  </si>
  <si>
    <t>CAD-07</t>
  </si>
  <si>
    <t>SCR-NAO-COMPARECEU-T1</t>
  </si>
  <si>
    <t>Cancelamento não é perda. Recupere rapidamente.</t>
  </si>
  <si>
    <t>Nova visita; Futuro; Encerrar</t>
  </si>
  <si>
    <t>INT-V07</t>
  </si>
  <si>
    <t>Cliente não compareceu</t>
  </si>
  <si>
    <t>Horário passou e o cliente não foi à loja</t>
  </si>
  <si>
    <t>Informado/Derivado</t>
  </si>
  <si>
    <t>Recuperar visita</t>
  </si>
  <si>
    <t>Abordar e reagendar</t>
  </si>
  <si>
    <t>Recuperar rápido aumenta chance de nova visita.</t>
  </si>
  <si>
    <t>Reagendou; Futuro; Encerrar</t>
  </si>
  <si>
    <t>INT-V08</t>
  </si>
  <si>
    <t>Visita realizada — desfecho pendente</t>
  </si>
  <si>
    <t>Cliente foi atendido presencialmente e falta registrar avanço</t>
  </si>
  <si>
    <t>Registrar avanço</t>
  </si>
  <si>
    <t>Informar resultado do atendimento</t>
  </si>
  <si>
    <t>Ação no mesmo dia</t>
  </si>
  <si>
    <t>SCR-POS-VISITA-01</t>
  </si>
  <si>
    <t>O atendimento sem desfecho registrado vira oportunidade perdida.</t>
  </si>
  <si>
    <t>Proposta; Negociação; Venda; Perda</t>
  </si>
  <si>
    <t>INT-N01</t>
  </si>
  <si>
    <t>Proposta pendente de envio</t>
  </si>
  <si>
    <t>Cliente solicitou condição e vendedor precisa enviar</t>
  </si>
  <si>
    <t>Entregar condição</t>
  </si>
  <si>
    <t>Preparar e enviar proposta</t>
  </si>
  <si>
    <t>SCR-PROPOSTA-ENVIAR</t>
  </si>
  <si>
    <t>Proposta solicitada precisa de resposta rápida.</t>
  </si>
  <si>
    <t>Proposta enviada; Objeção; Perda</t>
  </si>
  <si>
    <t>INT-N02</t>
  </si>
  <si>
    <t>Proposta enviada — prazo ativo</t>
  </si>
  <si>
    <t>Proposta enviada e prazo de retorno ainda ativo</t>
  </si>
  <si>
    <t>Acompanhar decisão</t>
  </si>
  <si>
    <t>Programar retorno</t>
  </si>
  <si>
    <t>SCR-PROPOSTA-CAD03-T1</t>
  </si>
  <si>
    <t>Retorno vence hoje</t>
  </si>
  <si>
    <t>Não deixe proposta sem retorno definido.</t>
  </si>
  <si>
    <t>Respondeu; Sem resposta; Objeção; Venda</t>
  </si>
  <si>
    <t>INT-N03</t>
  </si>
  <si>
    <t>Proposta sem retorno</t>
  </si>
  <si>
    <t>Prazo de acompanhamento venceu sem resposta</t>
  </si>
  <si>
    <t>Recuperar decisão</t>
  </si>
  <si>
    <t>Retomar proposta</t>
  </si>
  <si>
    <t>Retome a proposta para descobrir o ponto de trava.</t>
  </si>
  <si>
    <t>Respondeu; Objeção; Sem interesse; Futuro</t>
  </si>
  <si>
    <t>INT-N04</t>
  </si>
  <si>
    <t>Negociação ativa — bloqueador não definido</t>
  </si>
  <si>
    <t>Cliente negocia, mas falta identificar o bloqueador</t>
  </si>
  <si>
    <t>Identificar obstáculo</t>
  </si>
  <si>
    <t>Atualizar o que falta</t>
  </si>
  <si>
    <t>SCR-DECISAO-01</t>
  </si>
  <si>
    <t>Não deixe 'em negociação' genérico; defina o bloqueador real.</t>
  </si>
  <si>
    <t>Preço; Entrada; Parcela; Troca; Financiamento; Decisão</t>
  </si>
  <si>
    <t>INT-N05</t>
  </si>
  <si>
    <t>Objeção de preço</t>
  </si>
  <si>
    <t>Valor total é a principal barreira</t>
  </si>
  <si>
    <t>Trabalhar percepção de valor</t>
  </si>
  <si>
    <t>Entender diferença esperada</t>
  </si>
  <si>
    <t>SCR-OBJECAO-PRECO</t>
  </si>
  <si>
    <t>Trabalhe valor, não prometa desconto inexistente.</t>
  </si>
  <si>
    <t>Aceitou; Vai pensar; Perda; Condição loja</t>
  </si>
  <si>
    <t>INT-N06</t>
  </si>
  <si>
    <t>Objeção de entrada</t>
  </si>
  <si>
    <t>Valor de entrada impede avanço</t>
  </si>
  <si>
    <t>Buscar viabilidade</t>
  </si>
  <si>
    <t>Entender entrada possível</t>
  </si>
  <si>
    <t>SCR-OBJECAO-ENTRADA</t>
  </si>
  <si>
    <t>Descubra qual entrada cabe antes de refazer condição.</t>
  </si>
  <si>
    <t>Financiamento; Vai pensar; Perda</t>
  </si>
  <si>
    <t>INT-N07</t>
  </si>
  <si>
    <t>Objeção de parcela</t>
  </si>
  <si>
    <t>Parcela ou prazo é a barreira principal</t>
  </si>
  <si>
    <t>Ajustar estrutura</t>
  </si>
  <si>
    <t>Entender parcela e prazo viáveis</t>
  </si>
  <si>
    <t>SCR-OBJECAO-PARCELA</t>
  </si>
  <si>
    <t>Entenda parcela alvo sem prometer aprovação.</t>
  </si>
  <si>
    <t>Nova simulação; Vai pensar; Perda</t>
  </si>
  <si>
    <t>INT-N08</t>
  </si>
  <si>
    <t>Comparando veículos ou concorrentes</t>
  </si>
  <si>
    <t>Cliente avalia outro veículo ou concorrente</t>
  </si>
  <si>
    <t>Diferenciar solução</t>
  </si>
  <si>
    <t>Entender critérios de comparação</t>
  </si>
  <si>
    <t>SCR-COMPARACAO-01</t>
  </si>
  <si>
    <t>Descubra critérios da comparação para reposicionar a solução.</t>
  </si>
  <si>
    <t>Visita; Proposta; Vai pensar; Perda</t>
  </si>
  <si>
    <t>INT-N09</t>
  </si>
  <si>
    <t>Aguardando decisão do cliente</t>
  </si>
  <si>
    <t>Condições apresentadas e cliente pediu tempo</t>
  </si>
  <si>
    <t>Follow-up consultivo</t>
  </si>
  <si>
    <t>SCR-DECISAO-CAD03-T1</t>
  </si>
  <si>
    <t>Pergunte o que pesa na decisão; não cobre resposta vazia.</t>
  </si>
  <si>
    <t>Vai pensar; Objeção; Venda; Futuro</t>
  </si>
  <si>
    <t>INT-N10</t>
  </si>
  <si>
    <t>Aguardando decisão de terceiro</t>
  </si>
  <si>
    <t>Compra depende de cônjuge, sócio ou familiar</t>
  </si>
  <si>
    <t>Terceiro</t>
  </si>
  <si>
    <t>Envolver decisor</t>
  </si>
  <si>
    <t>Facilitar participação</t>
  </si>
  <si>
    <t>CAD-10</t>
  </si>
  <si>
    <t>SCR-TERCEIRO-01</t>
  </si>
  <si>
    <t>Ajude a envolver quem decide para evitar perda silenciosa.</t>
  </si>
  <si>
    <t>Decisor envolvido; Vai pensar; Perda</t>
  </si>
  <si>
    <t>INT-N11</t>
  </si>
  <si>
    <t>Aguardando condição da loja</t>
  </si>
  <si>
    <t>Vendedor depende de gerente/dono/autorização</t>
  </si>
  <si>
    <t>Obter resposta interna</t>
  </si>
  <si>
    <t>Cobrar decisão interna</t>
  </si>
  <si>
    <t>CAD-11</t>
  </si>
  <si>
    <t>Verificação interna hoje</t>
  </si>
  <si>
    <t>Não cobre o cliente enquanto a pendência é interna.</t>
  </si>
  <si>
    <t>Condição aprovada; Negada; Nova proposta</t>
  </si>
  <si>
    <t>INT-N12</t>
  </si>
  <si>
    <t>Pronto para fechamento</t>
  </si>
  <si>
    <t>Barreiras resolvidas e falta formalizar a compra</t>
  </si>
  <si>
    <t>Formalizar venda</t>
  </si>
  <si>
    <t>Confirmar aceite e próximos dados</t>
  </si>
  <si>
    <t>Imediata</t>
  </si>
  <si>
    <t>SCR-FECHAMENTO-01</t>
  </si>
  <si>
    <t>Não deixe fechamento esfriar; formalize o compromisso.</t>
  </si>
  <si>
    <t>Venda acordada; Sinal; Perda</t>
  </si>
  <si>
    <t>POR-A01</t>
  </si>
  <si>
    <t>Atendimento espontâneo em andamento</t>
  </si>
  <si>
    <t>Cliente entrou na loja espontaneamente e está sendo atendido</t>
  </si>
  <si>
    <t>Diagnosticar e apresentar solução</t>
  </si>
  <si>
    <t>Não entra enquanto em atendimento</t>
  </si>
  <si>
    <t>Atenda e registre apenas o que importa.</t>
  </si>
  <si>
    <t>Venda; Proposta; Perda; Pós-visita</t>
  </si>
  <si>
    <t>Canal de entrada Porta.</t>
  </si>
  <si>
    <t>POR-A02</t>
  </si>
  <si>
    <t>Atendimento concluído — desfecho pendente</t>
  </si>
  <si>
    <t>Atendimento encerrou, mas falta informar resultado</t>
  </si>
  <si>
    <t>Registrar resultado</t>
  </si>
  <si>
    <t>Informar o que aconteceu</t>
  </si>
  <si>
    <t>Mesmo dia</t>
  </si>
  <si>
    <t>Sem desfecho, a gestão perde a oportunidade.</t>
  </si>
  <si>
    <t>Venda; Visitou e não comprou; Perda</t>
  </si>
  <si>
    <t>POR-A03</t>
  </si>
  <si>
    <t>Visitou e não comprou</t>
  </si>
  <si>
    <t>Cliente visitou espontaneamente e não finalizou a compra</t>
  </si>
  <si>
    <t>Manter negociação viva</t>
  </si>
  <si>
    <t>Enviar resumo e retomar conversa</t>
  </si>
  <si>
    <t>A visita já aconteceu; agora o foco é recuperar decisão.</t>
  </si>
  <si>
    <t>Proposta; Objeção; Venda; Perda; Futuro</t>
  </si>
  <si>
    <t>Se vender depois por follow-up, canalVenda pode ser Carteira.</t>
  </si>
  <si>
    <t>POR-A04</t>
  </si>
  <si>
    <t>Pós-visita sem resposta</t>
  </si>
  <si>
    <t>Vendedor fez follow-up após visita e cliente não respondeu</t>
  </si>
  <si>
    <t>Recuperar oportunidade</t>
  </si>
  <si>
    <t>Executar tentativa de follow-up</t>
  </si>
  <si>
    <t>SCR-POS-VISITA-CAD03-T{n}</t>
  </si>
  <si>
    <t>Cliente que visitou tem valor maior que lead frio.</t>
  </si>
  <si>
    <t>Respondeu; Proposta; Perda; Futuro</t>
  </si>
  <si>
    <t>CAR-C01</t>
  </si>
  <si>
    <t>Indicação recebida — contato pendente</t>
  </si>
  <si>
    <t>Vendedor recebeu indicação e ainda não iniciou conversa</t>
  </si>
  <si>
    <t>Abordar mencionando a indicação</t>
  </si>
  <si>
    <t>SCR-CAR-INDICACAO-01</t>
  </si>
  <si>
    <t>Use a indicação como ponte de confiança.</t>
  </si>
  <si>
    <t>Respondeu; Sem resposta; Inválido</t>
  </si>
  <si>
    <t>CAR-C02</t>
  </si>
  <si>
    <t>Prospecção própria — contato pendente</t>
  </si>
  <si>
    <t>Vendedor identificou oportunidade por iniciativa própria</t>
  </si>
  <si>
    <t>Executar abordagem de prospecção</t>
  </si>
  <si>
    <t>SCR-CAR-PROSPECCAO-01</t>
  </si>
  <si>
    <t>O motivo real do contato deve estar claro.</t>
  </si>
  <si>
    <t>Respondeu; Sem resposta; Sem interesse</t>
  </si>
  <si>
    <t>CAR-C03</t>
  </si>
  <si>
    <t>Cliente antigo — reativação pendente</t>
  </si>
  <si>
    <t>Cliente antigo ou parado deve ser reativado</t>
  </si>
  <si>
    <t>Retomar relacionamento</t>
  </si>
  <si>
    <t>Fazer abordagem de reativação</t>
  </si>
  <si>
    <t>SCR-CAR-REATIVACAO-T1</t>
  </si>
  <si>
    <t>Retomar histórico antes de tentar vender.</t>
  </si>
  <si>
    <t>Respondeu; Sem resposta; Futuro</t>
  </si>
  <si>
    <t>CAR-C04</t>
  </si>
  <si>
    <t>Lead antigo acima de 90 dias</t>
  </si>
  <si>
    <t>Lead antigo será trabalhado como Carteira</t>
  </si>
  <si>
    <t>Reativar oportunidade</t>
  </si>
  <si>
    <t>Retomar com novo contexto</t>
  </si>
  <si>
    <t>Preserve canalEntrada original e canalVenda Carteira se vender.</t>
  </si>
  <si>
    <t>CAR-C05</t>
  </si>
  <si>
    <t>Contato de anúncio próprio</t>
  </si>
  <si>
    <t>Cliente veio de anúncio próprio do vendedor</t>
  </si>
  <si>
    <t>Responder e qualificar</t>
  </si>
  <si>
    <t>Origem detalhada: marketplace/OLX/tráfego próprio.</t>
  </si>
  <si>
    <t>Respondeu; Sem resposta</t>
  </si>
  <si>
    <t>CAR-C06</t>
  </si>
  <si>
    <t>Cliente procurou diretamente o vendedor</t>
  </si>
  <si>
    <t>Cliente buscou o vendedor por relacionamento direto</t>
  </si>
  <si>
    <t>Qualificar intenção</t>
  </si>
  <si>
    <t>Entender necessidade e prazo</t>
  </si>
  <si>
    <t>Aproveite confiança existente para qualificar rápido.</t>
  </si>
  <si>
    <t>Qualificado; Visita; Proposta</t>
  </si>
  <si>
    <t>CAR-C07</t>
  </si>
  <si>
    <t>Oportunidade de troca ativada</t>
  </si>
  <si>
    <t>Cliente entrou em ciclo de troca/recompra</t>
  </si>
  <si>
    <t>Criar nova compra</t>
  </si>
  <si>
    <t>Entender intenção de troca</t>
  </si>
  <si>
    <t>SCR-TROCA-FUTURA-01</t>
  </si>
  <si>
    <t>Na data de ativação</t>
  </si>
  <si>
    <t>Transforme relacionamento em nova oportunidade.</t>
  </si>
  <si>
    <t>Qualificação; Visita; Futuro</t>
  </si>
  <si>
    <t>CAR-C08</t>
  </si>
  <si>
    <t>Cliente de pós-venda com potencial</t>
  </si>
  <si>
    <t>Pós-venda indica oportunidade de indicação/troca</t>
  </si>
  <si>
    <t>Gerar nova oportunidade</t>
  </si>
  <si>
    <t>Conversar sobre momento atual</t>
  </si>
  <si>
    <t>SCR-POSVENDA-01</t>
  </si>
  <si>
    <t>Quando marco vence</t>
  </si>
  <si>
    <t>Pós-venda bem feito pode gerar indicação ou recompra.</t>
  </si>
  <si>
    <t>Indicação; Troca; Sem oportunidade</t>
  </si>
  <si>
    <t>TR-01</t>
  </si>
  <si>
    <t>Compartilhado</t>
  </si>
  <si>
    <t>Aguardando dados do carro da troca</t>
  </si>
  <si>
    <t>Cliente informou troca, mas faltam dados básicos</t>
  </si>
  <si>
    <t>Obter informações</t>
  </si>
  <si>
    <t>Solicitar placa, versão, ano, km e fotos</t>
  </si>
  <si>
    <t>CAD-08</t>
  </si>
  <si>
    <t>SCR-TROCA-DADOS-T1</t>
  </si>
  <si>
    <t>Solicite dados antes de estimar valor.</t>
  </si>
  <si>
    <t>Dados recebidos; Avaliação presencial; Sem troca</t>
  </si>
  <si>
    <t>TR-02</t>
  </si>
  <si>
    <t>Dados recebidos — avaliação pendente</t>
  </si>
  <si>
    <t>Dados mínimos recebidos precisam ser analisados</t>
  </si>
  <si>
    <t>Conseguir avaliação</t>
  </si>
  <si>
    <t>Encaminhar para avaliação</t>
  </si>
  <si>
    <t>A pendência agora é interna, não do cliente.</t>
  </si>
  <si>
    <t>Avaliação em andamento; Valor definido</t>
  </si>
  <si>
    <t>TR-03</t>
  </si>
  <si>
    <t>Avaliação presencial necessária</t>
  </si>
  <si>
    <t>Loja precisa ver o veículo fisicamente</t>
  </si>
  <si>
    <t>Levar veículo à loja</t>
  </si>
  <si>
    <t>Agendar avaliação presencial</t>
  </si>
  <si>
    <t>Agora sim o próximo passo é agendar visita/avaliação.</t>
  </si>
  <si>
    <t>Agendou; Não quer levar; Futuro</t>
  </si>
  <si>
    <t>TR-04</t>
  </si>
  <si>
    <t>Avaliação em andamento</t>
  </si>
  <si>
    <t>Veículo está sendo avaliado</t>
  </si>
  <si>
    <t>Concluir avaliação</t>
  </si>
  <si>
    <t>Verificar internamente</t>
  </si>
  <si>
    <t>Não cobre o cliente enquanto a loja avalia.</t>
  </si>
  <si>
    <t>Valor definido; Troca inviável</t>
  </si>
  <si>
    <t>TR-05</t>
  </si>
  <si>
    <t>Avaliação concluída — valor não apresentado</t>
  </si>
  <si>
    <t>Valor definido, mas vendedor ainda não apresentou</t>
  </si>
  <si>
    <t>Apresentar condição</t>
  </si>
  <si>
    <t>Enviar ou apresentar avaliação</t>
  </si>
  <si>
    <t>SCR-TROCA-VALOR-01</t>
  </si>
  <si>
    <t>Valor pronto precisa ser apresentado rapidamente.</t>
  </si>
  <si>
    <t>Valor apresentado; Cliente rejeitou; Aceitou</t>
  </si>
  <si>
    <t>TR-06</t>
  </si>
  <si>
    <t>Valor apresentado — aguardando cliente</t>
  </si>
  <si>
    <t>Cliente recebeu avaliação e precisa decidir</t>
  </si>
  <si>
    <t>Conseguir aceite</t>
  </si>
  <si>
    <t>Retomar decisão da troca</t>
  </si>
  <si>
    <t>Troca pode ser o bloqueador central da venda.</t>
  </si>
  <si>
    <t>Aceitou; Rejeitou; Vai pensar</t>
  </si>
  <si>
    <t>TR-07</t>
  </si>
  <si>
    <t>Cliente não aceitou a avaliação</t>
  </si>
  <si>
    <t>Valor da troca virou objeção</t>
  </si>
  <si>
    <t>Tratar objeção</t>
  </si>
  <si>
    <t>Entender valor esperado e diferença</t>
  </si>
  <si>
    <t>SCR-TROCA-OBJECAO-01</t>
  </si>
  <si>
    <t>Entenda a expectativa antes de negociar condição.</t>
  </si>
  <si>
    <t>Negociação; Perda; Futuro</t>
  </si>
  <si>
    <t>TR-08</t>
  </si>
  <si>
    <t>Troca aprovada</t>
  </si>
  <si>
    <t>Cliente aceitou o valor da troca</t>
  </si>
  <si>
    <t>Sistema</t>
  </si>
  <si>
    <t>Retomar negociação principal</t>
  </si>
  <si>
    <t>Verificar próximo bloqueador</t>
  </si>
  <si>
    <t>Automática</t>
  </si>
  <si>
    <t>Se houver próximo passo hoje</t>
  </si>
  <si>
    <t>Troca deixou de bloquear. Avance para fechamento ou próxima pendência.</t>
  </si>
  <si>
    <t>Negociação; Fechamento</t>
  </si>
  <si>
    <t>TR-09</t>
  </si>
  <si>
    <t>Troca inviável</t>
  </si>
  <si>
    <t>Veículo/condição não pode ser aceito pela loja</t>
  </si>
  <si>
    <t>Loja/Vendedor</t>
  </si>
  <si>
    <t>Apresentar alternativa</t>
  </si>
  <si>
    <t>Explicar e oferecer caminho possível</t>
  </si>
  <si>
    <t>SCR-TROCA-INVIAVEL-01</t>
  </si>
  <si>
    <t>Apresente alternativa sem prometer condição impossível.</t>
  </si>
  <si>
    <t>Negociação sem troca; Perda; Futuro</t>
  </si>
  <si>
    <t>FIN-01</t>
  </si>
  <si>
    <t>Simulação pendente</t>
  </si>
  <si>
    <t>Cliente demonstrou interesse em financiamento e precisa receber simulação</t>
  </si>
  <si>
    <t>Preparar simulação</t>
  </si>
  <si>
    <t>SCR-FIN-SIMULAR-01</t>
  </si>
  <si>
    <t>Simulação pedida exige resposta rápida.</t>
  </si>
  <si>
    <t>Simulação enviada; Nova simulação; Perda</t>
  </si>
  <si>
    <t>FIN-02</t>
  </si>
  <si>
    <t>Simulação enviada — aguardando cliente</t>
  </si>
  <si>
    <t>Cliente recebeu parcelas/condições</t>
  </si>
  <si>
    <t>Validar condição</t>
  </si>
  <si>
    <t>Retomar simulação</t>
  </si>
  <si>
    <t>SCR-FIN-SIMULACAO-CAD03-T1</t>
  </si>
  <si>
    <t>Valide entrada/parcela/prazo com cuidado.</t>
  </si>
  <si>
    <t>Aceitou ficha; Objeção parcela; Vai pensar</t>
  </si>
  <si>
    <t>FIN-03</t>
  </si>
  <si>
    <t>Documentos para ficha pendentes</t>
  </si>
  <si>
    <t>Faltam dados/documentos para ficha</t>
  </si>
  <si>
    <t>Completar ficha</t>
  </si>
  <si>
    <t>Solicitar documentos</t>
  </si>
  <si>
    <t>SCR-FIN-DOCUMENTOS-T1</t>
  </si>
  <si>
    <t>Peça apenas documentos realmente necessários.</t>
  </si>
  <si>
    <t>Documentos enviados; Desistiu; Futuro</t>
  </si>
  <si>
    <t>FIN-04</t>
  </si>
  <si>
    <t>Ficha em análise</t>
  </si>
  <si>
    <t>Proposta de crédito enviada para análise</t>
  </si>
  <si>
    <t>Financeira</t>
  </si>
  <si>
    <t>Obter retorno</t>
  </si>
  <si>
    <t>Verificar análise</t>
  </si>
  <si>
    <t>Pendência é financeira; mantenha cliente informado com base real.</t>
  </si>
  <si>
    <t>Aprovado; Recusado; Pendência</t>
  </si>
  <si>
    <t>FIN-05</t>
  </si>
  <si>
    <t>Pendência solicitada pela financeira</t>
  </si>
  <si>
    <t>Financeira solicitou complemento</t>
  </si>
  <si>
    <t>Cliente/Vendedor</t>
  </si>
  <si>
    <t>Completar análise</t>
  </si>
  <si>
    <t>Solicitar pendência</t>
  </si>
  <si>
    <t>A pendência precisa ser específica e registrada.</t>
  </si>
  <si>
    <t>Pendente enviado; Recusado; Aprovado</t>
  </si>
  <si>
    <t>FIN-06</t>
  </si>
  <si>
    <t>Financiamento aprovado sem fechamento</t>
  </si>
  <si>
    <t>Crédito aprovado, mas cliente ainda não comprou</t>
  </si>
  <si>
    <t>Converter aprovação</t>
  </si>
  <si>
    <t>Conduzir para fechamento</t>
  </si>
  <si>
    <t>CAD-09</t>
  </si>
  <si>
    <t>SCR-FIN-APROVADO-T1</t>
  </si>
  <si>
    <t>Aprovação reduz barreira. Prioridade alta de fechamento.</t>
  </si>
  <si>
    <t>Venda; Objeção; Condição diferente; Perda</t>
  </si>
  <si>
    <t>FIN-07</t>
  </si>
  <si>
    <t>Aprovado com condição diferente</t>
  </si>
  <si>
    <t>A aprovação veio com entrada/parcela/prazo diferentes</t>
  </si>
  <si>
    <t>Reestruturar negociação</t>
  </si>
  <si>
    <t>Apresentar condição real</t>
  </si>
  <si>
    <t>SCR-FIN-CONDICAO-DIFERENTE-01</t>
  </si>
  <si>
    <t>Explique condição real sem prometer o que não existe.</t>
  </si>
  <si>
    <t>Aceitou; Objeção; Perda</t>
  </si>
  <si>
    <t>FIN-08</t>
  </si>
  <si>
    <t>Financiamento recusado</t>
  </si>
  <si>
    <t>Crédito não aprovado</t>
  </si>
  <si>
    <t>Avaliar alternativa</t>
  </si>
  <si>
    <t>Verificar outro caminho autorizado</t>
  </si>
  <si>
    <t>SCR-FIN-RECUSADO-01</t>
  </si>
  <si>
    <t>Tratar com cuidado e buscar alternativas viáveis.</t>
  </si>
  <si>
    <t>Nova simulação; Perda; Futuro</t>
  </si>
  <si>
    <t>FIN-09</t>
  </si>
  <si>
    <t>Nova simulação necessária</t>
  </si>
  <si>
    <t>Condição precisa ser refeita</t>
  </si>
  <si>
    <t>Refazer simulação</t>
  </si>
  <si>
    <t>Refazer condição apenas com dados reais.</t>
  </si>
  <si>
    <t>Simulação enviada; Perda</t>
  </si>
  <si>
    <t>VEN-01</t>
  </si>
  <si>
    <t>Venda acordada — formalização pendente</t>
  </si>
  <si>
    <t>Cliente deu aceite, mas venda ainda não foi formalizada</t>
  </si>
  <si>
    <t>Formalizar negócio</t>
  </si>
  <si>
    <t>Confirmar dados e processo</t>
  </si>
  <si>
    <t>Formalize para não deixar o aceite esfriar.</t>
  </si>
  <si>
    <t>Sinal; Venda realizada; Desistiu</t>
  </si>
  <si>
    <t>VEN-02</t>
  </si>
  <si>
    <t>Sinal pendente</t>
  </si>
  <si>
    <t>Venda depende do pagamento de sinal</t>
  </si>
  <si>
    <t>Confirmar compromisso</t>
  </si>
  <si>
    <t>Orientar pagamento do sinal</t>
  </si>
  <si>
    <t>SCR-SINAL-01</t>
  </si>
  <si>
    <t>Sinal pendente precisa de acompanhamento rápido.</t>
  </si>
  <si>
    <t>Sinal pago; Desistiu</t>
  </si>
  <si>
    <t>VEN-03</t>
  </si>
  <si>
    <t>Sinal recebido — fechamento pendente</t>
  </si>
  <si>
    <t>Sinal pago, mas processo ainda não concluído</t>
  </si>
  <si>
    <t>Concluir venda</t>
  </si>
  <si>
    <t>Finalizar formalização</t>
  </si>
  <si>
    <t>Sinal pago aumenta responsabilidade de fechamento.</t>
  </si>
  <si>
    <t>Venda realizada</t>
  </si>
  <si>
    <t>VEN-04</t>
  </si>
  <si>
    <t>Venda confirmada</t>
  </si>
  <si>
    <t>Alimentar funil, faturamento e histórico</t>
  </si>
  <si>
    <t>Não entra, salvo próximo passo configurado</t>
  </si>
  <si>
    <t>Venda concluída. Ativar pós-venda se loja usar.</t>
  </si>
  <si>
    <t>Pós-venda; Encerrado</t>
  </si>
  <si>
    <t>VEN-05</t>
  </si>
  <si>
    <t>Entrega agendada</t>
  </si>
  <si>
    <t>Entrega futura é responsabilidade do vendedor</t>
  </si>
  <si>
    <t>Data/Vendedor</t>
  </si>
  <si>
    <t>Preparar entrega</t>
  </si>
  <si>
    <t>SCR-ENTREGA-01</t>
  </si>
  <si>
    <t>Quando data for hoje</t>
  </si>
  <si>
    <t>Sim se configurado</t>
  </si>
  <si>
    <t>Só criar entrega se loja atribui isso ao vendedor.</t>
  </si>
  <si>
    <t>Entrega hoje; Reagendar</t>
  </si>
  <si>
    <t>VEN-06</t>
  </si>
  <si>
    <t>Entrega hoje</t>
  </si>
  <si>
    <t>Data da entrega é hoje</t>
  </si>
  <si>
    <t>Realizar entrega</t>
  </si>
  <si>
    <t>Executar entrega</t>
  </si>
  <si>
    <t>Central</t>
  </si>
  <si>
    <t>Entrega pode ser oportunidade de relacionamento.</t>
  </si>
  <si>
    <t>Veículo entregue</t>
  </si>
  <si>
    <t>VEN-07</t>
  </si>
  <si>
    <t>Entrega concluída</t>
  </si>
  <si>
    <t>Iniciar relacionamento</t>
  </si>
  <si>
    <t>Ativar pós-venda se configurado</t>
  </si>
  <si>
    <t>SCR-POSVENDA-D7</t>
  </si>
  <si>
    <t>Conforme pós-venda</t>
  </si>
  <si>
    <t>Ativar relacionamento sem obrigar loja que não usa pós-venda.</t>
  </si>
  <si>
    <t>Pós-venda</t>
  </si>
  <si>
    <t>PER-01</t>
  </si>
  <si>
    <t>Motivo da perda pendente</t>
  </si>
  <si>
    <t>Venda marcada como não realizada sem motivo</t>
  </si>
  <si>
    <t>Qualificar perda</t>
  </si>
  <si>
    <t>Registrar motivo</t>
  </si>
  <si>
    <t>Sem motivo de perda, a carteira perde inteligência.</t>
  </si>
  <si>
    <t>Motivo registrado</t>
  </si>
  <si>
    <t>PER-02</t>
  </si>
  <si>
    <t>Venda perdida</t>
  </si>
  <si>
    <t>Motivo da perda registrado</t>
  </si>
  <si>
    <t>Preservar inteligência</t>
  </si>
  <si>
    <t>Encerrar oportunidade</t>
  </si>
  <si>
    <t>Perda qualificada pode virar oportunidade futura.</t>
  </si>
  <si>
    <t>Futuro; Encerrado</t>
  </si>
  <si>
    <t>PER-03</t>
  </si>
  <si>
    <t>Cadência encerrada sem resposta</t>
  </si>
  <si>
    <t>Tentativas concluídas sem retorno</t>
  </si>
  <si>
    <t>Preservar cliente</t>
  </si>
  <si>
    <t>Sem ação</t>
  </si>
  <si>
    <t>Não é perda automática; vira base para Plano de Ataque.</t>
  </si>
  <si>
    <t>PER-04</t>
  </si>
  <si>
    <t>Contato inválido encerrado</t>
  </si>
  <si>
    <t>Não existe canal válido para contato</t>
  </si>
  <si>
    <t>Evitar esforço improdutivo</t>
  </si>
  <si>
    <t>Preservar histórico e evitar novas tentativas inúteis.</t>
  </si>
  <si>
    <t>PER-05</t>
  </si>
  <si>
    <t>Cliente pediu retomada em data específica</t>
  </si>
  <si>
    <t>Retomar no momento certo</t>
  </si>
  <si>
    <t>Quando data chegar</t>
  </si>
  <si>
    <t>A carteira deve lembrar no momento certo.</t>
  </si>
  <si>
    <t>Ativar oportunidade</t>
  </si>
  <si>
    <t>PER-06</t>
  </si>
  <si>
    <t>Oportunidade transferida para Carteira</t>
  </si>
  <si>
    <t>Lead superou 90 dias e será reativado por ação do vendedor</t>
  </si>
  <si>
    <t>Reconhecer ação futura do vendedor</t>
  </si>
  <si>
    <t>Criar nova oportunidade Carteira</t>
  </si>
  <si>
    <t>Quando reativado</t>
  </si>
  <si>
    <t>Preservar canalEntrada e calcular canalVenda Carteira se vender.</t>
  </si>
  <si>
    <t>Nova oportunidade Carteira</t>
  </si>
  <si>
    <t>REL-01</t>
  </si>
  <si>
    <t>Pós-venda D+7</t>
  </si>
  <si>
    <t>Primeiro contato após venda</t>
  </si>
  <si>
    <t>Automático/Configurável</t>
  </si>
  <si>
    <t>Verificar satisfação</t>
  </si>
  <si>
    <t>Fazer contato e pedir indicação</t>
  </si>
  <si>
    <t>CAD-13</t>
  </si>
  <si>
    <t>Relacionamento bem feito gera indicação.</t>
  </si>
  <si>
    <t>Satisfeito; Problema; Indicação</t>
  </si>
  <si>
    <t>REL-02</t>
  </si>
  <si>
    <t>Pós-venda D+30</t>
  </si>
  <si>
    <t>Confirmar adaptação ao veículo</t>
  </si>
  <si>
    <t>Confirmar adaptação</t>
  </si>
  <si>
    <t>Fazer contato</t>
  </si>
  <si>
    <t>SCR-POSVENDA-D30</t>
  </si>
  <si>
    <t>Manter relacionamento após compra.</t>
  </si>
  <si>
    <t>Satisfeito; Problema</t>
  </si>
  <si>
    <t>REL-03</t>
  </si>
  <si>
    <t>Relacionamento D+180</t>
  </si>
  <si>
    <t>Contato leve de relacionamento</t>
  </si>
  <si>
    <t>Manter proximidade</t>
  </si>
  <si>
    <t>Fazer contato leve</t>
  </si>
  <si>
    <t>SCR-POSVENDA-D180</t>
  </si>
  <si>
    <t>Cliente antigo bem acompanhado vira Carteira.</t>
  </si>
  <si>
    <t>Oportunidade; Sem oportunidade</t>
  </si>
  <si>
    <t>REL-04</t>
  </si>
  <si>
    <t>Troca potencial em 12 meses</t>
  </si>
  <si>
    <t>Investigar intenção de troca após 12 meses</t>
  </si>
  <si>
    <t>Identificar intenção</t>
  </si>
  <si>
    <t>Conversar sobre ciclo de troca</t>
  </si>
  <si>
    <t>SCR-TROCA-12M</t>
  </si>
  <si>
    <t>Começar a preparar futura troca.</t>
  </si>
  <si>
    <t>Oportunidade de troca; Futuro</t>
  </si>
  <si>
    <t>REL-05</t>
  </si>
  <si>
    <t>Oferta de troca em 18 meses</t>
  </si>
  <si>
    <t>Apresentar possibilidade de upgrade/troca</t>
  </si>
  <si>
    <t>Criar oportunidade</t>
  </si>
  <si>
    <t>Apresentar possibilidade de upgrade</t>
  </si>
  <si>
    <t>SCR-TROCA-18M</t>
  </si>
  <si>
    <t>Relacionamento vira nova venda.</t>
  </si>
  <si>
    <t>Qualificação; Futuro</t>
  </si>
  <si>
    <t>REL-06</t>
  </si>
  <si>
    <t>Recompra ou troca em 24 meses</t>
  </si>
  <si>
    <t>Reabrir oportunidade de recompra/troca</t>
  </si>
  <si>
    <t>Gerar nova compra</t>
  </si>
  <si>
    <t>Reabrir oportunidade</t>
  </si>
  <si>
    <t>SCR-TROCA-24M</t>
  </si>
  <si>
    <t>Momento ideal para nova oportunidade de Carteira.</t>
  </si>
  <si>
    <t>Nova oportunidade</t>
  </si>
  <si>
    <t>REL-07</t>
  </si>
  <si>
    <t>Garantia aberta</t>
  </si>
  <si>
    <t>Cliente possui caso de garantia</t>
  </si>
  <si>
    <t>Vendedor/Loja</t>
  </si>
  <si>
    <t>Proteger relacionamento</t>
  </si>
  <si>
    <t>Confirmar recebimento e orientar</t>
  </si>
  <si>
    <t>SCR-GARANTIA-01</t>
  </si>
  <si>
    <t>Quando acompanhamento vence</t>
  </si>
  <si>
    <t>Garantia é relação sensível, não apenas operação.</t>
  </si>
  <si>
    <t>Em acompanhamento; Resolvida</t>
  </si>
  <si>
    <t>REL-08</t>
  </si>
  <si>
    <t>Garantia em acompanhamento</t>
  </si>
  <si>
    <t>Caso de garantia em andamento</t>
  </si>
  <si>
    <t>Manter cliente informado</t>
  </si>
  <si>
    <t>Verificar andamento</t>
  </si>
  <si>
    <t>Cliente precisa sentir acompanhamento.</t>
  </si>
  <si>
    <t>Resolvida; Insatisfeito</t>
  </si>
  <si>
    <t>REL-09</t>
  </si>
  <si>
    <t>Garantia resolvida</t>
  </si>
  <si>
    <t>Problema solucionado</t>
  </si>
  <si>
    <t>Recuperar confiança</t>
  </si>
  <si>
    <t>Confirmar satisfação</t>
  </si>
  <si>
    <t>SCR-GARANTIA-RESOLVIDA</t>
  </si>
  <si>
    <t>Feche o ciclo de garantia com relacionamento.</t>
  </si>
  <si>
    <t>Satisfeito; Nova ação</t>
  </si>
  <si>
    <t>Biblioteca de Cadências</t>
  </si>
  <si>
    <t>A cadência pertence ao objetivo comercial, não apenas ao canal.</t>
  </si>
  <si>
    <t>Cadência ID</t>
  </si>
  <si>
    <t>Nome</t>
  </si>
  <si>
    <t>Objetivo principal</t>
  </si>
  <si>
    <t>Tentativas</t>
  </si>
  <si>
    <t>Padrão de dias</t>
  </si>
  <si>
    <t>Aplicação</t>
  </si>
  <si>
    <t>Condição de interrupção</t>
  </si>
  <si>
    <t>Condição final</t>
  </si>
  <si>
    <t>Iniciar conversa em 14 dias</t>
  </si>
  <si>
    <t>Conseguir resposta inicial</t>
  </si>
  <si>
    <t>D0, D+1, D+2, D+3, D+7, D+13</t>
  </si>
  <si>
    <t>Lead sem resposta, indicação sem resposta, contato inicial, prospecção inicial</t>
  </si>
  <si>
    <t>Cliente respondeu</t>
  </si>
  <si>
    <t>Gerar visita em 21 dias</t>
  </si>
  <si>
    <t>Transformar interesse em compromisso presencial</t>
  </si>
  <si>
    <t>D0, D+2, D+8, D+11, D+16, D+20</t>
  </si>
  <si>
    <t>Cliente qualificado sem visita, cliente quente sem visita, avaliação presencial necessária</t>
  </si>
  <si>
    <t>Cliente agendou visita</t>
  </si>
  <si>
    <t>Elegível para Plano de Ataque ou futuro</t>
  </si>
  <si>
    <t>Recuperar negociação em 60 dias</t>
  </si>
  <si>
    <t>Retomar proposta, decisão ou negociação parada</t>
  </si>
  <si>
    <t>D0, D+3, D+9, D+19, D+29, D+59</t>
  </si>
  <si>
    <t>Proposta, pós-visita, decisão, objeções, negociação paralisada, reativação relevante</t>
  </si>
  <si>
    <t>Cliente respondeu ou decidiu</t>
  </si>
  <si>
    <t>Elegível para Plano de Ataque</t>
  </si>
  <si>
    <t>Completar qualificação em 7 dias</t>
  </si>
  <si>
    <t>Entender necessidade, veículo, prazo, troca e financiamento</t>
  </si>
  <si>
    <t>D0, D+1, D+3, D+7</t>
  </si>
  <si>
    <t>Qualificação inicial, definir veículo, entender viabilidade</t>
  </si>
  <si>
    <t>Cliente qualificado ou compra futura</t>
  </si>
  <si>
    <t>Retomar depois ou encerrar</t>
  </si>
  <si>
    <t>Definir data da visita em 7 dias</t>
  </si>
  <si>
    <t>Converter aceite de visita em data/hora</t>
  </si>
  <si>
    <t>Cliente aceitou visitar, mas ainda não definiu data e hora</t>
  </si>
  <si>
    <t>Data/hora definidas</t>
  </si>
  <si>
    <t>Reclassificar como cliente sem visita ou futuro</t>
  </si>
  <si>
    <t>Proteger comparecimento à loja</t>
  </si>
  <si>
    <t>D-2, D-1, D0</t>
  </si>
  <si>
    <t>Visitas agendadas</t>
  </si>
  <si>
    <t>Cliente confirmou ou reagendou</t>
  </si>
  <si>
    <t>Se não compareceu, iniciar CAD-07</t>
  </si>
  <si>
    <t>Recuperar não comparecimento</t>
  </si>
  <si>
    <t>Reagendar visita perdida</t>
  </si>
  <si>
    <t>D0, D+1, D+3, D+7, D+14</t>
  </si>
  <si>
    <t>Cliente agendou e não compareceu</t>
  </si>
  <si>
    <t>Reagendou ou explicou motivo</t>
  </si>
  <si>
    <t>Contato futuro, perda ou Plano de Ataque</t>
  </si>
  <si>
    <t>Pendência comercial em 7 dias</t>
  </si>
  <si>
    <t>Coletar dados, documentos ou informação pendente</t>
  </si>
  <si>
    <t>Dados da troca, documentos, dados para simulação, pendências do cliente</t>
  </si>
  <si>
    <t>Pendência resolvida</t>
  </si>
  <si>
    <t>Status de bloqueio ou perda/futuro</t>
  </si>
  <si>
    <t>Converter financiamento aprovado</t>
  </si>
  <si>
    <t>Transformar aprovação em fechamento</t>
  </si>
  <si>
    <t>Financiamento aprovado sem compra</t>
  </si>
  <si>
    <t>Cliente aceita avançar ou objeção definida</t>
  </si>
  <si>
    <t>Retomar negociação ou perda</t>
  </si>
  <si>
    <t>Aguardar decisão de terceiro</t>
  </si>
  <si>
    <t>Envolver decisor ou trazer clareza</t>
  </si>
  <si>
    <t>D0, D+2, D+5, D+10, D+14</t>
  </si>
  <si>
    <t>Decisão depende de cônjuge, sócio ou familiar</t>
  </si>
  <si>
    <t>Decisor envolvido ou decisão tomada</t>
  </si>
  <si>
    <t>Follow-up de decisão ou futuro</t>
  </si>
  <si>
    <t>Verificação interna</t>
  </si>
  <si>
    <t>Cobrar retorno interno sem pressionar cliente</t>
  </si>
  <si>
    <t>Variável</t>
  </si>
  <si>
    <t>Todo dia útil ou a cada 2 dias úteis</t>
  </si>
  <si>
    <t>Aguardando loja, financeira ou garantia</t>
  </si>
  <si>
    <t>Pendência interna resolvida</t>
  </si>
  <si>
    <t>Escalar para gestor se atrasado</t>
  </si>
  <si>
    <t>Contato futuro</t>
  </si>
  <si>
    <t>Retomar na data correta</t>
  </si>
  <si>
    <t>Data programada</t>
  </si>
  <si>
    <t>Compra futura, contato futuro, oportunidade futura</t>
  </si>
  <si>
    <t>Data chega e oportunidade reativa</t>
  </si>
  <si>
    <t>Retorna à Carteira Ativa</t>
  </si>
  <si>
    <t>Relacionamento e novas oportunidades</t>
  </si>
  <si>
    <t>Marcos</t>
  </si>
  <si>
    <t>D+7, D+30, D+180, 12m, 18m, 24m</t>
  </si>
  <si>
    <t>Pós-venda configurável por loja</t>
  </si>
  <si>
    <t>Cada marco executado</t>
  </si>
  <si>
    <t>Novo ciclo de troca/recompra ou encerramento</t>
  </si>
  <si>
    <t>Passos por Cadência</t>
  </si>
  <si>
    <t>Estratégia por tentativa/marco.</t>
  </si>
  <si>
    <t>Tentativa/Marco</t>
  </si>
  <si>
    <t>Offset</t>
  </si>
  <si>
    <t>Objetivo da tentativa</t>
  </si>
  <si>
    <t>1</t>
  </si>
  <si>
    <t>D0</t>
  </si>
  <si>
    <t>Primeira abordagem consultiva</t>
  </si>
  <si>
    <t>Iniciar conversa com contexto do veículo</t>
  </si>
  <si>
    <t>2</t>
  </si>
  <si>
    <t>D+1</t>
  </si>
  <si>
    <t>Confirmação curta de interesse</t>
  </si>
  <si>
    <t>Facilitar resposta</t>
  </si>
  <si>
    <t>3</t>
  </si>
  <si>
    <t>D+2</t>
  </si>
  <si>
    <t>Pergunta simples</t>
  </si>
  <si>
    <t>Reduzir atrito</t>
  </si>
  <si>
    <t>4</t>
  </si>
  <si>
    <t>D+3</t>
  </si>
  <si>
    <t>Nova abordagem de valor</t>
  </si>
  <si>
    <t>Abrir alternativa de visita ou informação</t>
  </si>
  <si>
    <t>5</t>
  </si>
  <si>
    <t>D+7</t>
  </si>
  <si>
    <t>Permissão para acompanhamento futuro</t>
  </si>
  <si>
    <t>Evitar insistência sem contexto</t>
  </si>
  <si>
    <t>6</t>
  </si>
  <si>
    <t>D+13</t>
  </si>
  <si>
    <t>Encerramento respeitoso</t>
  </si>
  <si>
    <t>Preservar relacionamento</t>
  </si>
  <si>
    <t>Convite com duas opções</t>
  </si>
  <si>
    <t>Gerar compromisso</t>
  </si>
  <si>
    <t>Reforçar benefício da visita</t>
  </si>
  <si>
    <t>Mostrar valor da presença</t>
  </si>
  <si>
    <t>D+8</t>
  </si>
  <si>
    <t>Perguntar melhor período</t>
  </si>
  <si>
    <t>Facilitar agenda</t>
  </si>
  <si>
    <t>D+11</t>
  </si>
  <si>
    <t>Nova disponibilidade</t>
  </si>
  <si>
    <t>Abrir alternativa</t>
  </si>
  <si>
    <t>D+16</t>
  </si>
  <si>
    <t>Entender barreira de visita</t>
  </si>
  <si>
    <t>Descobrir impedimento</t>
  </si>
  <si>
    <t>D+20</t>
  </si>
  <si>
    <t>Manter visita em aberto</t>
  </si>
  <si>
    <t>Preservar futuro</t>
  </si>
  <si>
    <t>Retomar decisão</t>
  </si>
  <si>
    <t>Entender ponto de trava</t>
  </si>
  <si>
    <t>Identificar objeção principal</t>
  </si>
  <si>
    <t>Preço, entrada, parcela, troca ou comparação</t>
  </si>
  <si>
    <t>D+9</t>
  </si>
  <si>
    <t>Revisar negociação real</t>
  </si>
  <si>
    <t>Usar condições registradas</t>
  </si>
  <si>
    <t>D+19</t>
  </si>
  <si>
    <t>Confirmar se ainda faz sentido</t>
  </si>
  <si>
    <t>Separar decisão de momento</t>
  </si>
  <si>
    <t>D+29</t>
  </si>
  <si>
    <t>Programar retorno futuro</t>
  </si>
  <si>
    <t>Evitar insistência</t>
  </si>
  <si>
    <t>D+59</t>
  </si>
  <si>
    <t>Pausar negociação</t>
  </si>
  <si>
    <t>Preservar histórico</t>
  </si>
  <si>
    <t>Perguntar necessidade</t>
  </si>
  <si>
    <t>Uso, família, trabalho</t>
  </si>
  <si>
    <t>Definir prazo</t>
  </si>
  <si>
    <t>Compra agora ou futura</t>
  </si>
  <si>
    <t>Troca, financiamento, orçamento</t>
  </si>
  <si>
    <t>Consolidar qualificação</t>
  </si>
  <si>
    <t>Definir próximo objetivo</t>
  </si>
  <si>
    <t>Converter aceite em agenda</t>
  </si>
  <si>
    <t>Perguntar melhor dia/período</t>
  </si>
  <si>
    <t>Facilitar escolha</t>
  </si>
  <si>
    <t>Reforçar objetividade da visita</t>
  </si>
  <si>
    <t>Reduzir fricção</t>
  </si>
  <si>
    <t>Reclassificar interesse</t>
  </si>
  <si>
    <t>Se não marcar, volta para cadência de visita/futuro</t>
  </si>
  <si>
    <t>D-2</t>
  </si>
  <si>
    <t>Preparar confirmação</t>
  </si>
  <si>
    <t>Checar se horário segue válido</t>
  </si>
  <si>
    <t>D-1</t>
  </si>
  <si>
    <t>Confirmar presença</t>
  </si>
  <si>
    <t>Garantir comparecimento</t>
  </si>
  <si>
    <t>Lembrete final</t>
  </si>
  <si>
    <t>Aguardar cliente</t>
  </si>
  <si>
    <t>Abordar falta sem julgamento</t>
  </si>
  <si>
    <t>Oferecer novo horário</t>
  </si>
  <si>
    <t>Descobrir motivo</t>
  </si>
  <si>
    <t>Horário, distância, mudança de plano</t>
  </si>
  <si>
    <t>Atendimento objetivo</t>
  </si>
  <si>
    <t>Tentar reativar</t>
  </si>
  <si>
    <t>D+14</t>
  </si>
  <si>
    <t>Deixar em aberto</t>
  </si>
  <si>
    <t>Dados/documentos específicos</t>
  </si>
  <si>
    <t>Relembrar pendência</t>
  </si>
  <si>
    <t>Objetivo curto</t>
  </si>
  <si>
    <t>Explicar importância da informação</t>
  </si>
  <si>
    <t>Evitar estimativa sem base</t>
  </si>
  <si>
    <t>Fechar ou reclassificar</t>
  </si>
  <si>
    <t>Informar aprovação e próximos passos</t>
  </si>
  <si>
    <t>Converter em fechamento</t>
  </si>
  <si>
    <t>Revisar condição aprovada</t>
  </si>
  <si>
    <t>Eliminar dúvida</t>
  </si>
  <si>
    <t>Alinhar entrada/parcela/veículo</t>
  </si>
  <si>
    <t>Transformar aprovação em decisão</t>
  </si>
  <si>
    <t>Evitar perder janela</t>
  </si>
  <si>
    <t>Envolver terceiro</t>
  </si>
  <si>
    <t>Cônjuge, sócio ou familiar</t>
  </si>
  <si>
    <t>Conversa, visita ou chamada</t>
  </si>
  <si>
    <t>D+5</t>
  </si>
  <si>
    <t>Reforçar decisão segura</t>
  </si>
  <si>
    <t>Remover barreiras</t>
  </si>
  <si>
    <t>D+10</t>
  </si>
  <si>
    <t>Confirmar avanço</t>
  </si>
  <si>
    <t>Evitar indefinição</t>
  </si>
  <si>
    <t>Programar futuro ou encerrar</t>
  </si>
  <si>
    <t>Dia útil</t>
  </si>
  <si>
    <t>Loja, financeira, garantia</t>
  </si>
  <si>
    <t>Próximo dia útil</t>
  </si>
  <si>
    <t>Reforçar retorno interno</t>
  </si>
  <si>
    <t>Não pressionar cliente sem informação</t>
  </si>
  <si>
    <t>Escalação</t>
  </si>
  <si>
    <t>Configuração</t>
  </si>
  <si>
    <t>Acionar gestor se atrasado</t>
  </si>
  <si>
    <t>Conforme regra da loja</t>
  </si>
  <si>
    <t>Ativação</t>
  </si>
  <si>
    <t>Volta para Carteira Ativa</t>
  </si>
  <si>
    <t>Satisfação e indicação</t>
  </si>
  <si>
    <t>Configurável</t>
  </si>
  <si>
    <t>D+30</t>
  </si>
  <si>
    <t>Adaptação ao veículo</t>
  </si>
  <si>
    <t>D+180</t>
  </si>
  <si>
    <t>Manter relacionamento</t>
  </si>
  <si>
    <t>12 meses</t>
  </si>
  <si>
    <t>12m</t>
  </si>
  <si>
    <t>Investigar troca</t>
  </si>
  <si>
    <t>18 meses</t>
  </si>
  <si>
    <t>18m</t>
  </si>
  <si>
    <t>Oferta de troca/upgrade</t>
  </si>
  <si>
    <t>24 meses</t>
  </si>
  <si>
    <t>24m</t>
  </si>
  <si>
    <t>Recompra ou troca</t>
  </si>
  <si>
    <t>Biblioteca Determinística de Scripts</t>
  </si>
  <si>
    <t>Scripts prontos por objetivo/tentativa. IA futura pode personalizar, mas não deve alterar a lógica.</t>
  </si>
  <si>
    <t>Script ID</t>
  </si>
  <si>
    <t>Área</t>
  </si>
  <si>
    <t>Texto padrão</t>
  </si>
  <si>
    <t>Tentativa 1</t>
  </si>
  <si>
    <t>Oi, {nome}! Tudo bem?
Aqui é {vendedor}, da {loja}. Vi seu interesse no {veiculo} e quero te ajudar com as informações certas.
Você pensa em comprar agora ou ainda está pesquisando opções?</t>
  </si>
  <si>
    <t>SCR-INT-CAD01-T2</t>
  </si>
  <si>
    <t>Tentativa 2</t>
  </si>
  <si>
    <t>Confirmar interesse</t>
  </si>
  <si>
    <t>Oi, {nome}! Só confirmando se recebeu minha mensagem sobre o {veiculo}.
Qual informação te ajuda mais neste momento: valor, condições, troca ou financiamento?</t>
  </si>
  <si>
    <t>SCR-INT-CAD01-T3</t>
  </si>
  <si>
    <t>Tentativa 3</t>
  </si>
  <si>
    <t>{nome}, para eu ser mais objetivo: você já definiu o veículo ou ainda está comparando algumas opções?
Posso te ajudar a filtrar o que faz mais sentido.</t>
  </si>
  <si>
    <t>SCR-INT-CAD01-T4</t>
  </si>
  <si>
    <t>Tentativa 4</t>
  </si>
  <si>
    <t>Posso te explicar tudo por aqui ou separar um horário para você conhecer melhor o {veiculo}.
Qual formato fica mais fácil para você?</t>
  </si>
  <si>
    <t>SCR-INT-CAD01-T5</t>
  </si>
  <si>
    <t>Tentativa 5</t>
  </si>
  <si>
    <t>Pedir permissão para seguir</t>
  </si>
  <si>
    <t>Oi, {nome}! Ainda faz sentido eu acompanhar sua busca pelo {veiculo}?
Se o momento mudou, posso deixar registrado para falar com você mais adiante.</t>
  </si>
  <si>
    <t>SCR-INT-CAD01-T6</t>
  </si>
  <si>
    <t>Tentativa 6</t>
  </si>
  <si>
    <t>Encerrar cadência respeitosamente</t>
  </si>
  <si>
    <t>Vou encerrar este acompanhamento por agora para não insistir.
Quando quiser retomar a busca pelo {veiculo}, pode me chamar por aqui. Ficarei à disposição.</t>
  </si>
  <si>
    <t>Inicial</t>
  </si>
  <si>
    <t>Iniciar conversa por indicação</t>
  </si>
  <si>
    <t>Oi, {nome}! Tudo bem?
Sou {vendedor}, da {loja}. O {nomeIndicador} comentou que você está avaliando a compra ou troca de um veículo.
Posso entender melhor o que você procura e te ajudar?</t>
  </si>
  <si>
    <t>Prospecção direta</t>
  </si>
  <si>
    <t>Oi, {nome}! Tudo bem?
Aqui é {vendedor}. Estou entrando em contato porque {motivoRealDoContato}.
Você pensa em comprar ou trocar de veículo agora ou está se planejando para mais adiante?</t>
  </si>
  <si>
    <t>Reativar relacionamento</t>
  </si>
  <si>
    <t>Oi, {nome}! Tudo bem?
Estou atualizando meus acompanhamentos e queria saber se a ideia de comprar ou trocar de veículo ainda está nos seus planos.
Se fizer sentido, posso retomar sua busca e te ajudar com as opções atuais.</t>
  </si>
  <si>
    <t>SCR-CAR-REATIVACAO-T2</t>
  </si>
  <si>
    <t>Atualizar necessidade</t>
  </si>
  <si>
    <t>{nome}, seu interesse continua relacionado ao {veiculo} ou sua necessidade mudou?
Com essa informação consigo te orientar melhor.</t>
  </si>
  <si>
    <t>SCR-CAR-REATIVACAO-T3</t>
  </si>
  <si>
    <t>Descobrir barreira</t>
  </si>
  <si>
    <t>Hoje, o que seria mais importante para você retomar essa compra: veículo, valor, entrada, parcela ou troca?</t>
  </si>
  <si>
    <t>SCR-CAR-REATIVACAO-T4</t>
  </si>
  <si>
    <t>Oferecer opções</t>
  </si>
  <si>
    <t>Posso separar algumas opções alinhadas ao que você procura e te mostrar sem compromisso.
Ainda faz sentido?</t>
  </si>
  <si>
    <t>SCR-CAR-REATIVACAO-T5</t>
  </si>
  <si>
    <t>Programar futuro</t>
  </si>
  <si>
    <t>A compra ficou para outro momento?
Posso deixar uma data registrada para te procurar quando fizer mais sentido.</t>
  </si>
  <si>
    <t>SCR-CAR-REATIVACAO-T6</t>
  </si>
  <si>
    <t>Pausar acompanhamento</t>
  </si>
  <si>
    <t>Vou pausar este acompanhamento por agora.
Quando decidir retomar a compra ou troca, me chame por aqui e continuamos de onde paramos.</t>
  </si>
  <si>
    <t>Uso e necessidade</t>
  </si>
  <si>
    <t>Para eu te orientar melhor, {nome}: você procura esse veículo para uso pessoal, família ou trabalho?</t>
  </si>
  <si>
    <t>Prazo</t>
  </si>
  <si>
    <t>Entender timing</t>
  </si>
  <si>
    <t>Você pensa em comprar agora, nos próximos dias ou está se planejando para mais adiante?</t>
  </si>
  <si>
    <t>Troca e financiamento</t>
  </si>
  <si>
    <t>Você pretende colocar algum veículo na troca?
E pensa em pagamento à vista ou financiamento?</t>
  </si>
  <si>
    <t>SCR-QUAL-04</t>
  </si>
  <si>
    <t>Confirmação</t>
  </si>
  <si>
    <t>Entendi. Então você procura {resumoNecessidade}.
O próximo passo que mais faz sentido é você conhecer as opções pessoalmente. Posso organizar um horário?</t>
  </si>
  <si>
    <t>{nome}, para decidir com mais segurança, o ideal é conhecer o {veiculo} pessoalmente.
Tenho disponibilidade para te atender {opcao1} ou {opcao2}. Qual fica melhor?</t>
  </si>
  <si>
    <t>SCR-VISITA-CAD02-T2</t>
  </si>
  <si>
    <t>Reforçar benefício</t>
  </si>
  <si>
    <t>Na visita você consegue analisar o carro com calma e esclarecer os pontos da negociação.
Qual dia ou período costuma ser mais fácil para você?</t>
  </si>
  <si>
    <t>SCR-VISITA-CAD02-T3</t>
  </si>
  <si>
    <t>Você prefere vir durante a semana ou no sábado?
Com isso consigo sugerir um horário mais confortável.</t>
  </si>
  <si>
    <t>SCR-VISITA-CAD02-T4</t>
  </si>
  <si>
    <t>Entender barreira</t>
  </si>
  <si>
    <t>O que está dificultando sua visita neste momento: horário, distância ou ainda está decidindo sobre o veículo?</t>
  </si>
  <si>
    <t>SCR-VISITA-CAD02-T5</t>
  </si>
  <si>
    <t>Posso organizar um atendimento objetivo, focado exatamente no que você precisa avaliar.
Ainda faz sentido marcarmos?</t>
  </si>
  <si>
    <t>SCR-VISITA-CAD02-T6</t>
  </si>
  <si>
    <t>Vou deixar a visita em aberto por agora.
Quando tiver um melhor momento, me avise e organizo o atendimento para você.</t>
  </si>
  <si>
    <t>Definir data</t>
  </si>
  <si>
    <t>Converter aceite em data/hora</t>
  </si>
  <si>
    <t>{nome}, consigo te atender {opcao1} ou {opcao2} para você conhecer o {veiculo}. Qual desses horários fica melhor?</t>
  </si>
  <si>
    <t>Oi, {nome}! Sua visita para conhecer o {veiculo} está prevista para {data}, às {hora}.
Posso manter esse horário? Se precisar ajustar, me avise.</t>
  </si>
  <si>
    <t>Oi, {nome}! Confirmando nosso encontro amanhã, às {hora}, para você conhecer o {veiculo}.
Está tudo certo para você?</t>
  </si>
  <si>
    <t>Bom dia, {nome}! Te aguardo hoje às {hora}.
Quando estiver a caminho, pode me avisar por aqui.</t>
  </si>
  <si>
    <t>Recepcionar</t>
  </si>
  <si>
    <t>Bom dia, {nome}! Tudo certo para sua visita hoje às {hora}?
Vou deixar o {veiculo} separado para te atender bem.</t>
  </si>
  <si>
    <t>Não compareceu</t>
  </si>
  <si>
    <t>Oi, {nome}! Vi que hoje não conseguimos nos encontrar.
Sem problema. Ainda faz sentido você conhecer o {veiculo}?</t>
  </si>
  <si>
    <t>SCR-NAO-COMPARECEU-T2</t>
  </si>
  <si>
    <t>Posso reorganizar sua visita para outro horário.
Você prefere durante a semana ou no sábado?</t>
  </si>
  <si>
    <t>SCR-NAO-COMPARECEU-T3</t>
  </si>
  <si>
    <t>Seu plano de compra mudou ou foi apenas uma dificuldade de horário?</t>
  </si>
  <si>
    <t>SCR-NAO-COMPARECEU-T4</t>
  </si>
  <si>
    <t>Oferecer atendimento objetivo</t>
  </si>
  <si>
    <t>Tenho como organizar um atendimento mais rápido e objetivo.
Qual período seria mais fácil para você?</t>
  </si>
  <si>
    <t>SCR-NAO-COMPARECEU-T5</t>
  </si>
  <si>
    <t>Vou deixar o reagendamento em aberto.
Quando puder retomar, me avise e organizo para você.</t>
  </si>
  <si>
    <t>Porta/Pós-visita</t>
  </si>
  <si>
    <t>Retomar pós-visita</t>
  </si>
  <si>
    <t>Oi, {nome}! Foi um prazer te atender hoje.
Quero continuar te ajudando em relação ao {veiculo}. Qual ponto ficou mais importante para sua decisão: valor, troca, entrada, parcela ou ainda comparar outras opções?</t>
  </si>
  <si>
    <t>Proposta</t>
  </si>
  <si>
    <t>Envio</t>
  </si>
  <si>
    <t>Enviar proposta</t>
  </si>
  <si>
    <t>{nome}, conforme conversamos, vou te enviar as condições registradas para o {veiculo}.
Depois me diga qual ponto fica mais importante para avançarmos.</t>
  </si>
  <si>
    <t>Oi, {nome}! Conseguiu analisar a proposta do {veiculo}?
Quero entender se existe algum ponto que ainda precisa ser ajustado ou esclarecido.</t>
  </si>
  <si>
    <t>SCR-PROPOSTA-CAD03-T2</t>
  </si>
  <si>
    <t>Identificar objeção</t>
  </si>
  <si>
    <t>O que mais pesou na sua análise: valor final, entrada, parcela, troca ou outro ponto?</t>
  </si>
  <si>
    <t>SCR-PROPOSTA-CAD03-T3</t>
  </si>
  <si>
    <t>Revisar negociação</t>
  </si>
  <si>
    <t>Posso revisar a negociação com você usando apenas as condições realmente disponíveis.
Qual seria o cenário mais viável para avançarmos?</t>
  </si>
  <si>
    <t>SCR-PROPOSTA-CAD03-T4</t>
  </si>
  <si>
    <t>Confirmar continuidade</t>
  </si>
  <si>
    <t>Ainda faz sentido continuar trabalhando essa negociação ou seu momento de compra mudou?</t>
  </si>
  <si>
    <t>SCR-PROPOSTA-CAD03-T5</t>
  </si>
  <si>
    <t>Posso programar um retorno para uma data mais adequada, sem ficar insistindo agora.
Quando seria melhor?</t>
  </si>
  <si>
    <t>SCR-PROPOSTA-CAD03-T6</t>
  </si>
  <si>
    <t>Vou pausar esta negociação por agora.
Se quiser retomar as condições do {veiculo}, me chame e seguimos de onde paramos.</t>
  </si>
  <si>
    <t>Objeção</t>
  </si>
  <si>
    <t>Preço</t>
  </si>
  <si>
    <t>Entender diferença</t>
  </si>
  <si>
    <t>Entendi, {nome}. Quando falamos de valor, qual diferença ficou impedindo o avanço?
Assim consigo entender se existe algum caminho real para trabalharmos.</t>
  </si>
  <si>
    <t>Entrada</t>
  </si>
  <si>
    <t>Para eu te orientar melhor: qual entrada ficaria mais confortável para você neste momento?</t>
  </si>
  <si>
    <t>Parcela</t>
  </si>
  <si>
    <t>Entender parcela alvo</t>
  </si>
  <si>
    <t>Qual parcela ficaria mais confortável para você analisar com segurança? Com isso consigo verificar se existe algum caminho possível.</t>
  </si>
  <si>
    <t>Comparação</t>
  </si>
  <si>
    <t>Concorrente/outro veículo</t>
  </si>
  <si>
    <t>Entendo que você esteja comparando opções. O que está pesando mais na comparação: preço, condição, estado do veículo, garantia ou confiança na loja?</t>
  </si>
  <si>
    <t>Decisão</t>
  </si>
  <si>
    <t>Follow-up</t>
  </si>
  <si>
    <t>Descobrir objeção real</t>
  </si>
  <si>
    <t>Entendo, {nome}.
Só para eu te ajudar melhor: o que ficou pesando mais na sua decisão?
Valor, entrada, parcela, troca ou ainda está comparando outras opções?</t>
  </si>
  <si>
    <t>Decisão de terceiro</t>
  </si>
  <si>
    <t>Entendi, {nome}. Para a decisão ficar mais segura, podemos envolver {tipoDecisor} na conversa ou organizar uma visita juntos.
Qual opção seria mais fácil?</t>
  </si>
  <si>
    <t>Dados pendentes</t>
  </si>
  <si>
    <t>Solicitar dados da troca</t>
  </si>
  <si>
    <t>Para avançarmos na avaliação do seu veículo, preciso destas informações:
- placa;
- modelo e versão;
- ano;
- quilometragem;
- fotos externas e internas.
Consegue me enviar?</t>
  </si>
  <si>
    <t>SCR-TROCA-DADOS-T2</t>
  </si>
  <si>
    <t>Reforço</t>
  </si>
  <si>
    <t>Oi, {nome}! Ficaram pendentes os dados do seu veículo para conseguirmos avançar na avaliação.
Pode me enviar quando tiver um momento?</t>
  </si>
  <si>
    <t>SCR-TROCA-DADOS-T3</t>
  </si>
  <si>
    <t>Importância</t>
  </si>
  <si>
    <t>Explicar necessidade</t>
  </si>
  <si>
    <t>Essas informações são importantes para evitar uma estimativa sem base.
Assim que receber, encaminho para a avaliação.</t>
  </si>
  <si>
    <t>SCR-TROCA-DADOS-T4</t>
  </si>
  <si>
    <t>Alternativa</t>
  </si>
  <si>
    <t>Avaliação presencial</t>
  </si>
  <si>
    <t>Ainda pretende utilizar seu veículo na troca?
Se preferir, também podemos organizar uma avaliação presencial.</t>
  </si>
  <si>
    <t>Valor apresentado</t>
  </si>
  <si>
    <t>{nome}, a avaliação do seu veículo ficou em {valorAvaliacao}.
Quero entender se essa condição ficou próxima do que você esperava ou se existe uma diferença que precisamos analisar.</t>
  </si>
  <si>
    <t>Objeção valor</t>
  </si>
  <si>
    <t>Entender expectativa</t>
  </si>
  <si>
    <t>Entendo, {nome}. Qual valor você esperava no seu veículo?
Com essa diferença clara, consigo entender melhor se existe algum caminho para continuar a negociação.</t>
  </si>
  <si>
    <t>Inviável</t>
  </si>
  <si>
    <t>{nome}, neste formato não conseguimos seguir com seu veículo na troca.
Posso te explicar o motivo e verificar uma alternativa para mantermos a negociação?</t>
  </si>
  <si>
    <t>Simulação</t>
  </si>
  <si>
    <t>Coletar dados para simular</t>
  </si>
  <si>
    <t>Para eu montar uma simulação mais próxima do seu cenário, você pensa em qual valor de entrada e prazo?</t>
  </si>
  <si>
    <t>Simulação enviada</t>
  </si>
  <si>
    <t>{nome}, conseguiu avaliar a simulação enviada?
O que ficou mais importante para ajustar: entrada, parcela ou prazo?</t>
  </si>
  <si>
    <t>Documentos</t>
  </si>
  <si>
    <t>Solicitar pendências</t>
  </si>
  <si>
    <t>Para avançarmos com a análise, ficaram pendentes os seguintes dados ou documentos:
{listaPendencias}
Quando conseguir enviar, dou continuidade à ficha.</t>
  </si>
  <si>
    <t>Aprovado</t>
  </si>
  <si>
    <t>Boa notícia, {nome}: seu financiamento foi aprovado nas condições registradas.
Agora precisamos revisar os detalhes e confirmar se podemos seguir com o fechamento.</t>
  </si>
  <si>
    <t>SCR-FIN-APROVADO-T2</t>
  </si>
  <si>
    <t>Aprovado 2</t>
  </si>
  <si>
    <t>Revisar condição</t>
  </si>
  <si>
    <t>Conseguiu analisar a condição aprovada?
Qual ponto precisa ser esclarecido para avançarmos?</t>
  </si>
  <si>
    <t>SCR-FIN-APROVADO-T3</t>
  </si>
  <si>
    <t>Aprovado 3</t>
  </si>
  <si>
    <t>Alinhar estrutura</t>
  </si>
  <si>
    <t>A aprovação resolveu a parte do crédito. Falta entendermos se entrada, parcela e veículo ficaram alinhados.
Podemos revisar juntos?</t>
  </si>
  <si>
    <t>SCR-FIN-APROVADO-T4</t>
  </si>
  <si>
    <t>Aprovado 4</t>
  </si>
  <si>
    <t>A condição aprovada ainda faz sentido ou seu cenário mudou?
Preciso dessa confirmação para definir o próximo passo.</t>
  </si>
  <si>
    <t>Condição diferente</t>
  </si>
  <si>
    <t>{nome}, a financeira retornou com uma condição diferente da simulação inicial.
Posso te explicar com clareza o que mudou e avaliar se ainda faz sentido para você?</t>
  </si>
  <si>
    <t>Recusado</t>
  </si>
  <si>
    <t>{nome}, a análise não voltou aprovada neste formato.
Posso verificar se existe alguma alternativa autorizada para continuarmos ou se é melhor programarmos outro momento.</t>
  </si>
  <si>
    <t>Fechamento</t>
  </si>
  <si>
    <t>Formalização</t>
  </si>
  <si>
    <t>{nome}, estamos alinhados para avançar com o {veiculo}.
Vou te orientar nos próximos dados para formalizarmos a venda.</t>
  </si>
  <si>
    <t>Sinal</t>
  </si>
  <si>
    <t>Pagamento</t>
  </si>
  <si>
    <t>Orientar sinal</t>
  </si>
  <si>
    <t>{nome}, para garantir o andamento da venda, falta apenas o sinal conforme combinado.
Posso te orientar com o próximo passo?</t>
  </si>
  <si>
    <t>Entrega</t>
  </si>
  <si>
    <t>Confirmar entrega</t>
  </si>
  <si>
    <t>Oi, {nome}! Confirmando a entrega do {veiculo} para {data} às {hora}.
Está tudo certo para você?</t>
  </si>
  <si>
    <t>Futuro</t>
  </si>
  <si>
    <t>Programado</t>
  </si>
  <si>
    <t>Perfeito, {nome}. Vou deixar registrado para te procurar em {dataRetorno}.
Assim retomamos no momento mais adequado para você.</t>
  </si>
  <si>
    <t>Oi, {nome}! Tudo bem com o {veiculo}?
Quero saber se está tudo certo e como foram esses primeiros dias.
Se lembrar de alguém que também esteja procurando carro, pode me indicar. Vou atender com o mesmo cuidado.</t>
  </si>
  <si>
    <t>Adaptação</t>
  </si>
  <si>
    <t>Oi, {nome}! Como está sua adaptação ao {veiculo}?
Passando para confirmar se está tudo bem e me colocar à disposição.</t>
  </si>
  <si>
    <t>Oi, {nome}! Tudo bem?
Passando para manter contato e saber como está sua experiência com o {veiculo}.</t>
  </si>
  <si>
    <t>Investigar intenção de troca</t>
  </si>
  <si>
    <t>Oi, {nome}! Já passou aproximadamente um ano desde a compra do {veiculo}.
Você pretende permanecer com ele por mais tempo ou já começa a considerar uma futura troca?</t>
  </si>
  <si>
    <t>Oferta de troca</t>
  </si>
  <si>
    <t>Oi, {nome}! Tudo bem?
Quero entender se já faz sentido avaliarmos uma possibilidade de troca ou upgrade do seu {veiculo}.</t>
  </si>
  <si>
    <t>Oi, {nome}! Seu ciclo com o {veiculo} já permite avaliarmos uma possível recompra ou troca.
Quer que eu faça uma análise inicial?</t>
  </si>
  <si>
    <t>Garantia</t>
  </si>
  <si>
    <t>Acompanhamento</t>
  </si>
  <si>
    <t>Oi, {nome}! Estou acompanhando a situação do seu veículo.
Quero confirmar se houve alguma atualização e garantir que você continue informado até a resolução.</t>
  </si>
  <si>
    <t>Resolvida</t>
  </si>
  <si>
    <t>Oi, {nome}! A situação do seu veículo foi resolvida.
Quero confirmar se ficou tudo certo e se posso ajudar em mais alguma coisa.</t>
  </si>
  <si>
    <t>Interno</t>
  </si>
  <si>
    <t>Não enviar ao cliente</t>
  </si>
  <si>
    <t>Registro interno</t>
  </si>
  <si>
    <t>Ação interna. Não enviar mensagem ao cliente sem informação confirmada.</t>
  </si>
  <si>
    <t>Resultados e Transições</t>
  </si>
  <si>
    <t>O vendedor informa o resultado; o Mentor calcula o novo status e decisão.</t>
  </si>
  <si>
    <t>Status/Contexto de origem</t>
  </si>
  <si>
    <t>Resultado informado</t>
  </si>
  <si>
    <t>Novo status sugerido</t>
  </si>
  <si>
    <t>Nova decisão / observação</t>
  </si>
  <si>
    <t>Mensagem enviada</t>
  </si>
  <si>
    <t>Avança para CAD-01 e agenda próxima tentativa</t>
  </si>
  <si>
    <t>Interrompe cadência e coloca responsabilidade no vendedor</t>
  </si>
  <si>
    <t>Não respondeu à última tentativa</t>
  </si>
  <si>
    <t>Sai da Carteira Ativa e fica elegível para Plano de Ataque</t>
  </si>
  <si>
    <t>Qualquer</t>
  </si>
  <si>
    <t>Número inválido</t>
  </si>
  <si>
    <t>Tentar corrigir contato antes de encerrar</t>
  </si>
  <si>
    <t>Não deseja contato</t>
  </si>
  <si>
    <t>Encerrar sem insistência</t>
  </si>
  <si>
    <t>Não definiu o carro</t>
  </si>
  <si>
    <t>Próximo passo: identificar modelo/categoria/faixa</t>
  </si>
  <si>
    <t>Definiu veículo</t>
  </si>
  <si>
    <t>Próximo passo: entender prazo, troca e financiamento</t>
  </si>
  <si>
    <t>Veículo definido</t>
  </si>
  <si>
    <t>Compra agora e está qualificado</t>
  </si>
  <si>
    <t>Próximo passo: convidar para visita</t>
  </si>
  <si>
    <t>Compra futura</t>
  </si>
  <si>
    <t>Não existe veículo adequado</t>
  </si>
  <si>
    <t>Escolheu data e hora</t>
  </si>
  <si>
    <t>Aplicar regra de confirmação conforme data</t>
  </si>
  <si>
    <t>Entrou em D-2/D-1</t>
  </si>
  <si>
    <t>Enviar para Central se a confirmação vence hoje</t>
  </si>
  <si>
    <t>Confirmou</t>
  </si>
  <si>
    <t>Compareceu</t>
  </si>
  <si>
    <t>Registrar resultado do atendimento</t>
  </si>
  <si>
    <t>Iniciar CAD-07</t>
  </si>
  <si>
    <t>Qualquer visita</t>
  </si>
  <si>
    <t>Reagendou</t>
  </si>
  <si>
    <t>Atualizar data oficial, sem duplicar cliente</t>
  </si>
  <si>
    <t>Visita realizada</t>
  </si>
  <si>
    <t>Pediu proposta</t>
  </si>
  <si>
    <t>Enviar proposta hoje</t>
  </si>
  <si>
    <t>Proposta pendente</t>
  </si>
  <si>
    <t>Proposta enviada</t>
  </si>
  <si>
    <t>Programar retorno CAD-03</t>
  </si>
  <si>
    <t>Não respondeu</t>
  </si>
  <si>
    <t>Negociação ativa</t>
  </si>
  <si>
    <t>Questionou preço</t>
  </si>
  <si>
    <t>Questionou entrada</t>
  </si>
  <si>
    <t>Questionou parcela</t>
  </si>
  <si>
    <t>Entender parcela/prazo viáveis</t>
  </si>
  <si>
    <t>Está comparando</t>
  </si>
  <si>
    <t>Entender critérios da comparação</t>
  </si>
  <si>
    <t>Pediu tempo</t>
  </si>
  <si>
    <t>Depende de outra pessoa</t>
  </si>
  <si>
    <t>Depende da loja</t>
  </si>
  <si>
    <t>Aceitou condições</t>
  </si>
  <si>
    <t>Informou que possui troca</t>
  </si>
  <si>
    <t>Solicitar dados e fotos</t>
  </si>
  <si>
    <t>Aguardando dados</t>
  </si>
  <si>
    <t>Enviou dados</t>
  </si>
  <si>
    <t>Dados recebidos</t>
  </si>
  <si>
    <t>Precisa levar o carro</t>
  </si>
  <si>
    <t>Valor definido</t>
  </si>
  <si>
    <t>Apresentar valor</t>
  </si>
  <si>
    <t>Aceitou</t>
  </si>
  <si>
    <t>Retornar status anterior ou próxima pendência</t>
  </si>
  <si>
    <t>Rejeitou valor</t>
  </si>
  <si>
    <t>Tratar objeção da troca</t>
  </si>
  <si>
    <t>Loja não aceita</t>
  </si>
  <si>
    <t>Pediu simulação</t>
  </si>
  <si>
    <t>Retomar CAD-03</t>
  </si>
  <si>
    <t>Aceitou enviar ficha</t>
  </si>
  <si>
    <t>Documentos pendentes</t>
  </si>
  <si>
    <t>Documentos enviados</t>
  </si>
  <si>
    <t>Verificação interna/financeira</t>
  </si>
  <si>
    <t>Financeira pediu complemento</t>
  </si>
  <si>
    <t>Aprovado diferente</t>
  </si>
  <si>
    <t>Venda</t>
  </si>
  <si>
    <t>Deu aceite</t>
  </si>
  <si>
    <t>Venda acordada</t>
  </si>
  <si>
    <t>Aguarda sinal</t>
  </si>
  <si>
    <t>Sinal pago</t>
  </si>
  <si>
    <t>Alimentar funil/faturamento/comissão/histórico</t>
  </si>
  <si>
    <t>Perda</t>
  </si>
  <si>
    <t>Qualquer ativa</t>
  </si>
  <si>
    <t>Não comprou</t>
  </si>
  <si>
    <t>Motivo pendente</t>
  </si>
  <si>
    <t>Encerrar ou programar futuro</t>
  </si>
  <si>
    <t>Cliente pediu contato futuro</t>
  </si>
  <si>
    <t>Pós-venda configurado</t>
  </si>
  <si>
    <t>Ativar marco configurado por loja</t>
  </si>
  <si>
    <t>Cliente reportou problema</t>
  </si>
  <si>
    <t>Confirmou satisfação</t>
  </si>
  <si>
    <t>Encerrar ciclo ou gerar relacionamento</t>
  </si>
  <si>
    <t>Score, Qualidade da Carteira e Prioridade Comercial</t>
  </si>
  <si>
    <t>O score mede a qualidade da condução comercial da oportunidade. A prioridade combina urgência, potencial e risco de condução.</t>
  </si>
  <si>
    <t>Pilar</t>
  </si>
  <si>
    <t>Peso</t>
  </si>
  <si>
    <t>Regra para pontuação total</t>
  </si>
  <si>
    <t>Regra parcial</t>
  </si>
  <si>
    <t>Regra zero</t>
  </si>
  <si>
    <t>Status definido e coerente</t>
  </si>
  <si>
    <t>Status válido e campos obrigatórios completos</t>
  </si>
  <si>
    <t>Status válido com informação pendente = 8</t>
  </si>
  <si>
    <t>Status genérico, incoerente ou ausente = 0</t>
  </si>
  <si>
    <t>Próximo passo, responsável e data</t>
  </si>
  <si>
    <t>Próximo passo, responsável e data definidos</t>
  </si>
  <si>
    <t>Próximo passo sem data/responsável = 10</t>
  </si>
  <si>
    <t>Sem próximo passo = 0</t>
  </si>
  <si>
    <t>Execução dentro do prazo</t>
  </si>
  <si>
    <t>Nada vencido</t>
  </si>
  <si>
    <t>Ação vence hoje = 25; atraso &lt;24h = 10</t>
  </si>
  <si>
    <t>Atraso &gt;24h ou cliente respondeu sem retorno = 0</t>
  </si>
  <si>
    <t>Cadência respeitada</t>
  </si>
  <si>
    <t>Tentativas devidas executadas</t>
  </si>
  <si>
    <t>Uma tentativa fora do prazo = 10</t>
  </si>
  <si>
    <t>Tentativa ignorada/interrompida sem justificativa = 0</t>
  </si>
  <si>
    <t>Histórico atualizado</t>
  </si>
  <si>
    <t>Último contato e resultado registrados</t>
  </si>
  <si>
    <t>Contato registrado sem resultado suficiente = 8</t>
  </si>
  <si>
    <t>Histórico não representa atendimento atual = 0</t>
  </si>
  <si>
    <t>Tipo</t>
  </si>
  <si>
    <t>Evento</t>
  </si>
  <si>
    <t>Impacto sugerido</t>
  </si>
  <si>
    <t>Perda de score</t>
  </si>
  <si>
    <t>Sem próxima ação definida</t>
  </si>
  <si>
    <t>-20</t>
  </si>
  <si>
    <t>Usar como alerta além da fórmula dos pilares</t>
  </si>
  <si>
    <t>Próxima ação vencida</t>
  </si>
  <si>
    <t>-25</t>
  </si>
  <si>
    <t>Se ultrapassar prazo configurado</t>
  </si>
  <si>
    <t>Cliente respondeu e vendedor não tratou</t>
  </si>
  <si>
    <t>-30</t>
  </si>
  <si>
    <t>Principal risco operacional</t>
  </si>
  <si>
    <t>Cliente quente parado há 5 dias</t>
  </si>
  <si>
    <t>Cliente de alto potencial sem evolução</t>
  </si>
  <si>
    <t>Proposta sem retorno e sem ação</t>
  </si>
  <si>
    <t>Ação deveria estar programada</t>
  </si>
  <si>
    <t>Histórico desatualizado</t>
  </si>
  <si>
    <t>-10</t>
  </si>
  <si>
    <t>Não representa atendimento atual</t>
  </si>
  <si>
    <t>Cadência interrompida sem justificativa</t>
  </si>
  <si>
    <t>-15</t>
  </si>
  <si>
    <t>Não punir falta de resposta do cliente</t>
  </si>
  <si>
    <t>Recuperação</t>
  </si>
  <si>
    <t>Próxima ação criada</t>
  </si>
  <si>
    <t>+10</t>
  </si>
  <si>
    <t>Até limite de 100</t>
  </si>
  <si>
    <t>Próximo passo executado no prazo</t>
  </si>
  <si>
    <t>Ação real do vendedor</t>
  </si>
  <si>
    <t>+5</t>
  </si>
  <si>
    <t>Evidência de condução</t>
  </si>
  <si>
    <t>Cliente evoluiu de situação</t>
  </si>
  <si>
    <t>Mudança positiva no acompanhamento</t>
  </si>
  <si>
    <t>+15</t>
  </si>
  <si>
    <t>Aumento de compromisso</t>
  </si>
  <si>
    <t>Oportunidade avançou</t>
  </si>
  <si>
    <t>+20</t>
  </si>
  <si>
    <t>Desfecho positivo</t>
  </si>
  <si>
    <t>Pós-venda realizado</t>
  </si>
  <si>
    <t>Relacionamento continuado</t>
  </si>
  <si>
    <t>Pontuação usada no simulador</t>
  </si>
  <si>
    <t>Exemplos de status</t>
  </si>
  <si>
    <t>Visita hoje; Pronto para fechamento; Financiamento aprovado; Negociação ativa</t>
  </si>
  <si>
    <t>Proposta enviada; Visita confirmada; Objeção ativa; Cliente qualificado sem visita</t>
  </si>
  <si>
    <t>Cliente respondeu; Em qualificação; Pós-venda com potencial</t>
  </si>
  <si>
    <t>Primeiro contato sem resposta; Compra futura; Cadência encerrada</t>
  </si>
  <si>
    <t>Índice calculado</t>
  </si>
  <si>
    <t>Prioridade</t>
  </si>
  <si>
    <t>85 a 100</t>
  </si>
  <si>
    <t>Máxima</t>
  </si>
  <si>
    <t>70 a 84</t>
  </si>
  <si>
    <t>Alta</t>
  </si>
  <si>
    <t>50 a 69</t>
  </si>
  <si>
    <t>Média</t>
  </si>
  <si>
    <t>0 a 49</t>
  </si>
  <si>
    <t>Baixa</t>
  </si>
  <si>
    <t>Plano de Ataque — Missões e Bloqueios</t>
  </si>
  <si>
    <t>O Plano de Ataque nasce das situações do Mentor Comercial. Ele não é campanha genérica.</t>
  </si>
  <si>
    <t>Condição encontrada no Mentor</t>
  </si>
  <si>
    <t>Missão sugerida</t>
  </si>
  <si>
    <t>Quando aparece</t>
  </si>
  <si>
    <t>Observações</t>
  </si>
  <si>
    <t>Retomar leads</t>
  </si>
  <si>
    <t>Tentar nova abordagem em grupo</t>
  </si>
  <si>
    <t>Após tentativas concluídas sem resposta</t>
  </si>
  <si>
    <t>Não é perda automática</t>
  </si>
  <si>
    <t>Recuperar visitas</t>
  </si>
  <si>
    <t>Retomar clientes com alta intenção</t>
  </si>
  <si>
    <t>Status POR-A03/POR-A04 ou visita realizada sem venda</t>
  </si>
  <si>
    <t>Prioridade relevante para aumento de conversão</t>
  </si>
  <si>
    <t>Recuperar propostas</t>
  </si>
  <si>
    <t>Status INT-N03 ou equivalente</t>
  </si>
  <si>
    <t>Pode gerar vendas rápidas</t>
  </si>
  <si>
    <t>Reagendar visitas</t>
  </si>
  <si>
    <t>Transformar ausência em nova agenda</t>
  </si>
  <si>
    <t>Status INT-V07</t>
  </si>
  <si>
    <t>Usar mensagem sem julgamento</t>
  </si>
  <si>
    <t>Converter aprovações</t>
  </si>
  <si>
    <t>Fechar clientes com barreira de crédito superada</t>
  </si>
  <si>
    <t>Status FIN-06</t>
  </si>
  <si>
    <t>Alta prioridade</t>
  </si>
  <si>
    <t>Gerar visitas</t>
  </si>
  <si>
    <t>Criar compromisso presencial</t>
  </si>
  <si>
    <t>INT-Q04/INT-Q08</t>
  </si>
  <si>
    <t>Principal rotina de aquecimento</t>
  </si>
  <si>
    <t>Cliente antigo</t>
  </si>
  <si>
    <t>Reativar carteira</t>
  </si>
  <si>
    <t>CAR-C03/CAR-C04</t>
  </si>
  <si>
    <t>Canal de venda Carteira</t>
  </si>
  <si>
    <t>Pós-venda positivo</t>
  </si>
  <si>
    <t>Pedir indicações</t>
  </si>
  <si>
    <t>Gerar novas oportunidades</t>
  </si>
  <si>
    <t>REL-01/REL-02 com satisfação</t>
  </si>
  <si>
    <t>Não automatizar sem cuidado</t>
  </si>
  <si>
    <t>Troca futura ativada</t>
  </si>
  <si>
    <t>Campanha de troca</t>
  </si>
  <si>
    <t>REL-04/REL-05/REL-06</t>
  </si>
  <si>
    <t>Canal Carteira</t>
  </si>
  <si>
    <t>Garantia ativa</t>
  </si>
  <si>
    <t>Acompanhar garantias</t>
  </si>
  <si>
    <t>REL-07/REL-08</t>
  </si>
  <si>
    <t>Não é campanha de venda; é retenção</t>
  </si>
  <si>
    <t>Status da missão anterior</t>
  </si>
  <si>
    <t>Pode iniciar nova missão?</t>
  </si>
  <si>
    <t>Mensagem ao vendedor</t>
  </si>
  <si>
    <t>Envio de mensagens incompleto</t>
  </si>
  <si>
    <t>Finalize o envio das mensagens da missão atual antes de iniciar uma nova.</t>
  </si>
  <si>
    <t>Aguardando resposta do cliente</t>
  </si>
  <si>
    <t>Você já fez sua parte nesta missão. Pode iniciar outra.</t>
  </si>
  <si>
    <t>Clientes aguardando ação do vendedor</t>
  </si>
  <si>
    <t>Você possui clientes que responderam e aguardam sua ação. Resolva esses retornos antes de iniciar uma nova missão.</t>
  </si>
  <si>
    <t>Status pendente há mais de 24h</t>
  </si>
  <si>
    <t>Antes de iniciar uma nova missão, registre o resultado dos contatos pendentes.</t>
  </si>
  <si>
    <t>Urgência</t>
  </si>
  <si>
    <t>Pontuação</t>
  </si>
  <si>
    <t>Cliente respondeu e aguarda vendedor</t>
  </si>
  <si>
    <t>Ação vencida</t>
  </si>
  <si>
    <t>Ação hoje</t>
  </si>
  <si>
    <t>Ação amanhã</t>
  </si>
  <si>
    <t>Até 3 dias</t>
  </si>
  <si>
    <t>Ação futura</t>
  </si>
  <si>
    <t>Simulador de Clientes — Mentor Comercial</t>
  </si>
  <si>
    <t>Preencha Canal, Status ID, Próxima ação, Urgência e os pontos dos pilares de score. As demais colunas consultam o dicionário de regras.</t>
  </si>
  <si>
    <t>Origem Detalhada</t>
  </si>
  <si>
    <t>Responsável</t>
  </si>
  <si>
    <t>Regra Central</t>
  </si>
  <si>
    <t>Por que está aqui</t>
  </si>
  <si>
    <t>Próxima ação</t>
  </si>
  <si>
    <t>Pontos urgência</t>
  </si>
  <si>
    <t>Status coerente (0/15)</t>
  </si>
  <si>
    <t>Próximo passo/data (0/20)</t>
  </si>
  <si>
    <t>Execução prazo (0/30)</t>
  </si>
  <si>
    <t>Cadência (0/20)</t>
  </si>
  <si>
    <t>Histórico (0/15)</t>
  </si>
  <si>
    <t>Score</t>
  </si>
  <si>
    <t>Classificação</t>
  </si>
  <si>
    <t>Pontos Potencial</t>
  </si>
  <si>
    <t>Risco Condução</t>
  </si>
  <si>
    <t>Índice Prioridade</t>
  </si>
  <si>
    <t>Ação na Central?</t>
  </si>
  <si>
    <t>Observação do teste</t>
  </si>
  <si>
    <t>Daniel Santos</t>
  </si>
  <si>
    <t>Meta Ads</t>
  </si>
  <si>
    <t>Lead novo sem resposta.</t>
  </si>
  <si>
    <t>Maria Santos</t>
  </si>
  <si>
    <t>Instagram Loja</t>
  </si>
  <si>
    <t>Cliente quente sem visita.</t>
  </si>
  <si>
    <t>Fernanda Costa</t>
  </si>
  <si>
    <t>Google Ads</t>
  </si>
  <si>
    <t>Visita futura, não deve entrar na Central ainda.</t>
  </si>
  <si>
    <t>Carlos Oliveira</t>
  </si>
  <si>
    <t>Site</t>
  </si>
  <si>
    <t>Proposta sem retorno.</t>
  </si>
  <si>
    <t>Roberto Marinho</t>
  </si>
  <si>
    <t>Financiamento aprovado sem fechamento.</t>
  </si>
  <si>
    <t>Ana Flávia</t>
  </si>
  <si>
    <t>Entrada espontânea</t>
  </si>
  <si>
    <t>Visitou e não comprou.</t>
  </si>
  <si>
    <t>João Pereira</t>
  </si>
  <si>
    <t>Lead Loja</t>
  </si>
  <si>
    <t>Aguardando dados da troca.</t>
  </si>
  <si>
    <t>Ricardo Santos</t>
  </si>
  <si>
    <t>Reativação de cliente antigo.</t>
  </si>
  <si>
    <t>Tatiane Souza</t>
  </si>
  <si>
    <t>Pós-venda D+7.</t>
  </si>
  <si>
    <t>Luiz Silva</t>
  </si>
  <si>
    <t>Garantia aberta.</t>
  </si>
  <si>
    <t>Integrações do Mentor Comercial</t>
  </si>
  <si>
    <t>Fechamento Diário, Central de Execução, Plano de Ataque e assistente futuro.</t>
  </si>
  <si>
    <t>Origem / Módulo</t>
  </si>
  <si>
    <t>Evento / Condição</t>
  </si>
  <si>
    <t>Ação do Mentor Comercial</t>
  </si>
  <si>
    <t>Regra importante</t>
  </si>
  <si>
    <t>Destino</t>
  </si>
  <si>
    <t>Fechamento Diário</t>
  </si>
  <si>
    <t>Venda Realizada = Sim</t>
  </si>
  <si>
    <t>Status VEN-04 Venda realizada</t>
  </si>
  <si>
    <t>Alimentar Funil, Faturamento, Comissão futura e histórico</t>
  </si>
  <si>
    <t>Mentor + Funil</t>
  </si>
  <si>
    <t>Venda Realizada = Não</t>
  </si>
  <si>
    <t>Status PER-01 Motivo da perda pendente</t>
  </si>
  <si>
    <t>Preservar motivo, observações, veículo, canal e histórico</t>
  </si>
  <si>
    <t>Mentor</t>
  </si>
  <si>
    <t>Venda Realizada = Em Negociação com agendamento</t>
  </si>
  <si>
    <t>Status INT-V02 Visita agendada ou equivalente</t>
  </si>
  <si>
    <t>Temperatura Quente; aplicar regra de data</t>
  </si>
  <si>
    <t>Em negociação sem agendamento</t>
  </si>
  <si>
    <t>Status Cliente qualificado sem visita ou status informado</t>
  </si>
  <si>
    <t>Próximo passo: gerar visita</t>
  </si>
  <si>
    <t>Agendamento D+1</t>
  </si>
  <si>
    <t>Cadastrar na Carteira e contar na Disciplina</t>
  </si>
  <si>
    <t>D+1 = data competência + 1 dia</t>
  </si>
  <si>
    <t>Mentor + Disciplina</t>
  </si>
  <si>
    <t>Agendamento futuro maior que D+1</t>
  </si>
  <si>
    <t>Cadastrar na Carteira e não contar na Disciplina</t>
  </si>
  <si>
    <t>Valoriza Qualidade da Carteira</t>
  </si>
  <si>
    <t>Reagendamento</t>
  </si>
  <si>
    <t>Atualizar a mesma oportunidade</t>
  </si>
  <si>
    <t>Não duplicar cliente nem apagar histórico</t>
  </si>
  <si>
    <t>Exclusão de agendamento na janela de ajuste</t>
  </si>
  <si>
    <t>Remover/atualizar evento e preservar cliente</t>
  </si>
  <si>
    <t>Se for reagendamento, cliente permanece</t>
  </si>
  <si>
    <t>Próxima ação = hoje</t>
  </si>
  <si>
    <t>Criar item na aba Hoje</t>
  </si>
  <si>
    <t>Central não armazena cliente; só puxa do Mentor</t>
  </si>
  <si>
    <t>Visita = hoje</t>
  </si>
  <si>
    <t>Criar Atendimento agendado</t>
  </si>
  <si>
    <t>Carregar clienteId, oportunidadeId e atividadeId</t>
  </si>
  <si>
    <t>Criar Retorno pendente</t>
  </si>
  <si>
    <t>Responsável = Vendedor; prioridade alta/máxima</t>
  </si>
  <si>
    <t>Pós-venda ou garantia vence hoje</t>
  </si>
  <si>
    <t>Criar oportunidade de relacionamento</t>
  </si>
  <si>
    <t>Somente se configurado/ativo</t>
  </si>
  <si>
    <t>Item resolvido na Central</t>
  </si>
  <si>
    <t>Atualizar Mentor, histórico, score e prioridade</t>
  </si>
  <si>
    <t>Nada é excluído da Carteira</t>
  </si>
  <si>
    <t>Plano de Ataque</t>
  </si>
  <si>
    <t>Missão executada</t>
  </si>
  <si>
    <t>Atualizar mesma oportunidade</t>
  </si>
  <si>
    <t>Não criar duplicidade</t>
  </si>
  <si>
    <t>Permitir nova missão</t>
  </si>
  <si>
    <t>Vendedor já fez sua parte</t>
  </si>
  <si>
    <t>Plano</t>
  </si>
  <si>
    <t>Bloquear nova missão</t>
  </si>
  <si>
    <t>Resolver retornos antes de abrir outra frente</t>
  </si>
  <si>
    <t>Plano/Central</t>
  </si>
  <si>
    <t>Assistente futuro WhatsApp</t>
  </si>
  <si>
    <t>Print/encaminhamento/conversa validada</t>
  </si>
  <si>
    <t>Criar rascunho e pedir confirmação</t>
  </si>
  <si>
    <t>IA não deve salvar sem validação</t>
  </si>
  <si>
    <t>Dados incompletos</t>
  </si>
  <si>
    <t>Perguntar apenas o que falta</t>
  </si>
  <si>
    <t>Cadastro mínimo inteligente</t>
  </si>
  <si>
    <t>Cenários de Validação</t>
  </si>
  <si>
    <t>Use estes cenários para conferir se a lógica do sistema bate com a metodologia.</t>
  </si>
  <si>
    <t>Cenário</t>
  </si>
  <si>
    <t>Status esperado</t>
  </si>
  <si>
    <t>Próximo passo esperado</t>
  </si>
  <si>
    <t>Central?</t>
  </si>
  <si>
    <t>Score/Prioridade esperados</t>
  </si>
  <si>
    <t>1. Lead sem resposta</t>
  </si>
  <si>
    <t>Canal Internet; status INT-C01; primeira mensagem enviada</t>
  </si>
  <si>
    <t>INT-C02 Sem resposta — cadência ativa</t>
  </si>
  <si>
    <t>Executar próxima tentativa CAD-01</t>
  </si>
  <si>
    <t>Quando tentativa vence hoje</t>
  </si>
  <si>
    <t>Score permanece alto se executado no prazo</t>
  </si>
  <si>
    <t>2. Lead responde</t>
  </si>
  <si>
    <t>INT-C02; resultado Cliente respondeu</t>
  </si>
  <si>
    <t>INT-C03 Resposta recebida — atendimento pendente</t>
  </si>
  <si>
    <t>Sim, retorno pendente</t>
  </si>
  <si>
    <t>Prioridade alta/máxima se aguardando vendedor</t>
  </si>
  <si>
    <t>Interrompe cadência anterior</t>
  </si>
  <si>
    <t>3. Visita D+5</t>
  </si>
  <si>
    <t>Status INT-V02 com data futura</t>
  </si>
  <si>
    <t>Score alto se próxima data definida</t>
  </si>
  <si>
    <t>4. Visita D-1</t>
  </si>
  <si>
    <t>INT-V02 entra em D-1</t>
  </si>
  <si>
    <t>INT-V03 Visita a confirmar</t>
  </si>
  <si>
    <t>Prioridade alta</t>
  </si>
  <si>
    <t>Proteger comparecimento</t>
  </si>
  <si>
    <t>5. Visita hoje</t>
  </si>
  <si>
    <t>INT-V05 Visita hoje</t>
  </si>
  <si>
    <t>Potencial muito alto</t>
  </si>
  <si>
    <t>Central tipo Atendimento agendado</t>
  </si>
  <si>
    <t>6. Não compareceu</t>
  </si>
  <si>
    <t>INT-V05; resultado Não compareceu</t>
  </si>
  <si>
    <t>INT-V07 Cliente não compareceu</t>
  </si>
  <si>
    <t>7. Dados da troca pendentes</t>
  </si>
  <si>
    <t>Status TR-01</t>
  </si>
  <si>
    <t>Quando ação vence</t>
  </si>
  <si>
    <t>Prioridade alta se negociação quente</t>
  </si>
  <si>
    <t>Não recomendar visita antes de dados, exceto avaliação presencial</t>
  </si>
  <si>
    <t>8. Avaliação presencial</t>
  </si>
  <si>
    <t>Status TR-03</t>
  </si>
  <si>
    <t>Aqui o próximo passo é visita</t>
  </si>
  <si>
    <t>9. Financiamento aprovado</t>
  </si>
  <si>
    <t>Potencial muito alto; prioridade alta/máxima</t>
  </si>
  <si>
    <t>Não prometer condições não registradas</t>
  </si>
  <si>
    <t>10. Cliente Porta não comprou</t>
  </si>
  <si>
    <t>Canal Porta; POR-A03</t>
  </si>
  <si>
    <t>Se vender depois por follow-up, canalVenda pode ser Carteira</t>
  </si>
  <si>
    <t>11. Lead antigo &gt;90 dias</t>
  </si>
  <si>
    <t>CanalEntrada Internet; transferido para Carteira</t>
  </si>
  <si>
    <t>PER-06 / CAR-C04</t>
  </si>
  <si>
    <t>Reativar com novo contexto</t>
  </si>
  <si>
    <t>Preserva origem original e mede canalVenda Carteira</t>
  </si>
  <si>
    <t>12. Cadência completa sem resposta</t>
  </si>
  <si>
    <t>Todas tentativas executadas; sem retorno</t>
  </si>
  <si>
    <t>PER-03 Cadência encerrada sem resposta</t>
  </si>
  <si>
    <t>Score pode continuar bom se tudo feito no prazo</t>
  </si>
  <si>
    <t>Elegível para Plano de Ataque futuro</t>
  </si>
  <si>
    <t>13. Cliente respondeu e vendedor não tratou</t>
  </si>
  <si>
    <t>Responsável Vendedor; ação vencida</t>
  </si>
  <si>
    <t>Status atual permanece, mas alerta sobe</t>
  </si>
  <si>
    <t>Responder/atualizar imediatamente</t>
  </si>
  <si>
    <t>Score crítico; prioridade máxima</t>
  </si>
  <si>
    <t>Bloqueia nova missão se pendente</t>
  </si>
  <si>
    <t>14. Compra futura</t>
  </si>
  <si>
    <t>Cliente declarou prazo futuro</t>
  </si>
  <si>
    <t>INT-Q05 / PER-05</t>
  </si>
  <si>
    <t>Não até data</t>
  </si>
  <si>
    <t>Não deve poluir Carteira Ativa</t>
  </si>
  <si>
    <t>Na data, reativa oportunidade</t>
  </si>
  <si>
    <t>15. Garantia aberta</t>
  </si>
  <si>
    <t>Foco em relacionamento e proteção de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</si>
</sst>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8"/>
      <color rgb="FF0B1B3F"/>
      <name val="Carlito"/>
    </font>
    <font>
      <sz val="11"/>
      <color rgb="FF475569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B1B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wrapText="1"/>
    </xf>
    <xf numFmtId="22" fontId="0" fillId="0" borderId="0" xfId="0" applyNumberFormat="1" applyAlignment="1">
      <alignment vertical="top" wrapText="1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1">
    <dxf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Status por família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'00 Guia'!$D$13:$D$21</c:f>
              <c:strCache>
                <c:ptCount val="9"/>
                <c:pt idx="0">
                  <c:v>Contato</c:v>
                </c:pt>
                <c:pt idx="1">
                  <c:v>Financiamento</c:v>
                </c:pt>
                <c:pt idx="2">
                  <c:v>Negociação</c:v>
                </c:pt>
                <c:pt idx="3">
                  <c:v>Perda e Futuro</c:v>
                </c:pt>
                <c:pt idx="4">
                  <c:v>Qualificação</c:v>
                </c:pt>
                <c:pt idx="5">
                  <c:v>Relacionamento</c:v>
                </c:pt>
                <c:pt idx="6">
                  <c:v>Troca</c:v>
                </c:pt>
                <c:pt idx="7">
                  <c:v>Venda e Entrega</c:v>
                </c:pt>
                <c:pt idx="8">
                  <c:v>Visita</c:v>
                </c:pt>
              </c:strCache>
            </c:strRef>
          </c:cat>
          <c:val>
            <c:numRef>
              <c:f>'00 Guia'!$E$13:$E$21</c:f>
              <c:numCache>
                <c:formatCode>General</c:formatCode>
                <c:ptCount val="9"/>
                <c:pt idx="0">
                  <c:v>11</c:v>
                </c:pt>
                <c:pt idx="1">
                  <c:v>9</c:v>
                </c:pt>
                <c:pt idx="2">
                  <c:v>14</c:v>
                </c:pt>
                <c:pt idx="3">
                  <c:v>6</c:v>
                </c:pt>
                <c:pt idx="4">
                  <c:v>9</c:v>
                </c:pt>
                <c:pt idx="5">
                  <c:v>11</c:v>
                </c:pt>
                <c:pt idx="6">
                  <c:v>9</c:v>
                </c:pt>
                <c:pt idx="7">
                  <c:v>7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F-4B39-894A-242D289CD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aTable" displayName="GuiaTable" ref="A3:B9">
  <tableColumns count="2">
    <tableColumn id="1" xr3:uid="{00000000-0010-0000-0000-000001000000}" name="Seção"/>
    <tableColumn id="2" xr3:uid="{00000000-0010-0000-0000-000002000000}" name="Conteú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1000000}" name="ResumoQuantitativoTable" displayName="ResumoQuantitativoTable" ref="D4:E9">
  <tableColumns count="2">
    <tableColumn id="1" xr3:uid="{00000000-0010-0000-0100-000001000000}" name="Indicador"/>
    <tableColumn id="2" xr3:uid="{00000000-0010-0000-0100-000002000000}" name="Quantida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2000000}" name="StatusPorFamiliaTable" displayName="StatusPorFamiliaTable" ref="D12:E21">
  <tableColumns count="2">
    <tableColumn id="1" xr3:uid="{00000000-0010-0000-0200-000001000000}" name="Família"/>
    <tableColumn id="2" xr3:uid="{00000000-0010-0000-0200-000002000000}" name="Qt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CanaisTable" displayName="CanaisTable" ref="A3:F6">
  <tableColumns count="6">
    <tableColumn id="1" xr3:uid="{00000000-0010-0000-0300-000001000000}" name="Canal Comercial"/>
    <tableColumn id="2" xr3:uid="{00000000-0010-0000-0300-000002000000}" name="Conceito oficial"/>
    <tableColumn id="3" xr3:uid="{00000000-0010-0000-0300-000003000000}" name="O que mede"/>
    <tableColumn id="4" xr3:uid="{00000000-0010-0000-0300-000004000000}" name="Entram como origem detalhada"/>
    <tableColumn id="5" xr3:uid="{00000000-0010-0000-0300-000005000000}" name="Regras importantes"/>
    <tableColumn id="6" xr3:uid="{00000000-0010-0000-0300-000006000000}" name="Exempl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StatusTable" displayName="StatusTable" ref="A3:R89">
  <tableColumns count="18">
    <tableColumn id="1" xr3:uid="{00000000-0010-0000-0400-000001000000}" name="Status ID"/>
    <tableColumn id="2" xr3:uid="{00000000-0010-0000-0400-000002000000}" name="Canal"/>
    <tableColumn id="3" xr3:uid="{00000000-0010-0000-0400-000003000000}" name="Família"/>
    <tableColumn id="4" xr3:uid="{00000000-0010-0000-0400-000004000000}" name="Status atual"/>
    <tableColumn id="5" xr3:uid="{00000000-0010-0000-0400-000005000000}" name="Definição / quando usar"/>
    <tableColumn id="6" xr3:uid="{00000000-0010-0000-0400-000006000000}" name="Origem"/>
    <tableColumn id="7" xr3:uid="{00000000-0010-0000-0400-000007000000}" name="Responsável atual"/>
    <tableColumn id="8" xr3:uid="{00000000-0010-0000-0400-000008000000}" name="Temperatura"/>
    <tableColumn id="9" xr3:uid="{00000000-0010-0000-0400-000009000000}" name="Objetivo atual"/>
    <tableColumn id="10" xr3:uid="{00000000-0010-0000-0400-00000A000000}" name="Próximo passo"/>
    <tableColumn id="11" xr3:uid="{00000000-0010-0000-0400-00000B000000}" name="Cadência"/>
    <tableColumn id="12" xr3:uid="{00000000-0010-0000-0400-00000C000000}" name="Script base"/>
    <tableColumn id="13" xr3:uid="{00000000-0010-0000-0400-00000D000000}" name="Potencial"/>
    <tableColumn id="14" xr3:uid="{00000000-0010-0000-0400-00000E000000}" name="Entra na Central quando"/>
    <tableColumn id="15" xr3:uid="{00000000-0010-0000-0400-00000F000000}" name="Ativo na Carteira"/>
    <tableColumn id="16" xr3:uid="{00000000-0010-0000-0400-000010000000}" name="Orientação do Mentor"/>
    <tableColumn id="17" xr3:uid="{00000000-0010-0000-0400-000011000000}" name="Resultados principais"/>
    <tableColumn id="18" xr3:uid="{00000000-0010-0000-0400-000012000000}" name="Observações / regr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CadenciasTable" displayName="CadenciasTable" ref="A3:H16">
  <tableColumns count="8">
    <tableColumn id="1" xr3:uid="{00000000-0010-0000-0500-000001000000}" name="Cadência ID"/>
    <tableColumn id="2" xr3:uid="{00000000-0010-0000-0500-000002000000}" name="Nome"/>
    <tableColumn id="3" xr3:uid="{00000000-0010-0000-0500-000003000000}" name="Objetivo principal"/>
    <tableColumn id="4" xr3:uid="{00000000-0010-0000-0500-000004000000}" name="Tentativas"/>
    <tableColumn id="5" xr3:uid="{00000000-0010-0000-0500-000005000000}" name="Padrão de dias"/>
    <tableColumn id="6" xr3:uid="{00000000-0010-0000-0500-000006000000}" name="Aplicação"/>
    <tableColumn id="7" xr3:uid="{00000000-0010-0000-0500-000007000000}" name="Condição de interrupção"/>
    <tableColumn id="8" xr3:uid="{00000000-0010-0000-0500-000008000000}" name="Condição fin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PassosCadenciaTable" displayName="PassosCadenciaTable" ref="A3:E60">
  <tableColumns count="5">
    <tableColumn id="1" xr3:uid="{00000000-0010-0000-0600-000001000000}" name="Cadência ID"/>
    <tableColumn id="2" xr3:uid="{00000000-0010-0000-0600-000002000000}" name="Tentativa/Marco"/>
    <tableColumn id="3" xr3:uid="{00000000-0010-0000-0600-000003000000}" name="Offset"/>
    <tableColumn id="4" xr3:uid="{00000000-0010-0000-0600-000004000000}" name="Objetivo da tentativa"/>
    <tableColumn id="5" xr3:uid="{00000000-0010-0000-0600-000005000000}" name="Observaçã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ScriptsTable" displayName="ScriptsTable" ref="A3:E80">
  <tableColumns count="5">
    <tableColumn id="1" xr3:uid="{00000000-0010-0000-0700-000001000000}" name="Script ID"/>
    <tableColumn id="2" xr3:uid="{00000000-0010-0000-0700-000002000000}" name="Área"/>
    <tableColumn id="3" xr3:uid="{00000000-0010-0000-0700-000003000000}" name="Tentativa/Marco"/>
    <tableColumn id="4" xr3:uid="{00000000-0010-0000-0700-000004000000}" name="Objetivo"/>
    <tableColumn id="5" xr3:uid="{00000000-0010-0000-0700-000005000000}" name="Texto padrã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ransicoesTable" displayName="TransicoesTable" ref="A3:E55">
  <tableColumns count="5">
    <tableColumn id="1" xr3:uid="{00000000-0010-0000-0800-000001000000}" name="Família"/>
    <tableColumn id="2" xr3:uid="{00000000-0010-0000-0800-000002000000}" name="Status/Contexto de origem"/>
    <tableColumn id="3" xr3:uid="{00000000-0010-0000-0800-000003000000}" name="Resultado informado"/>
    <tableColumn id="4" xr3:uid="{00000000-0010-0000-0800-000004000000}" name="Novo status sugerido"/>
    <tableColumn id="5" xr3:uid="{00000000-0010-0000-0800-000005000000}" name="Nova decisão / observaçã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9000000}" name="ScorePilaresTable" displayName="ScorePilaresTable" ref="A4:E9">
  <tableColumns count="5">
    <tableColumn id="1" xr3:uid="{00000000-0010-0000-0900-000001000000}" name="Pilar"/>
    <tableColumn id="2" xr3:uid="{00000000-0010-0000-0900-000002000000}" name="Peso"/>
    <tableColumn id="3" xr3:uid="{00000000-0010-0000-0900-000003000000}" name="Regra para pontuação total"/>
    <tableColumn id="4" xr3:uid="{00000000-0010-0000-0900-000004000000}" name="Regra parcial"/>
    <tableColumn id="5" xr3:uid="{00000000-0010-0000-0900-000005000000}" name="Regra zer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A000000}" name="ScoreImpactosTable" displayName="ScoreImpactosTable" ref="A12:D27">
  <tableColumns count="4">
    <tableColumn id="1" xr3:uid="{00000000-0010-0000-0A00-000001000000}" name="Tipo"/>
    <tableColumn id="2" xr3:uid="{00000000-0010-0000-0A00-000002000000}" name="Evento"/>
    <tableColumn id="3" xr3:uid="{00000000-0010-0000-0A00-000003000000}" name="Impacto sugerido"/>
    <tableColumn id="4" xr3:uid="{00000000-0010-0000-0A00-000004000000}" name="Observaçã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PotencialTable" displayName="PotencialTable" ref="A30:C34">
  <tableColumns count="3">
    <tableColumn id="1" xr3:uid="{00000000-0010-0000-0B00-000001000000}" name="Potencial"/>
    <tableColumn id="2" xr3:uid="{00000000-0010-0000-0B00-000002000000}" name="Pontuação usada no simulador"/>
    <tableColumn id="3" xr3:uid="{00000000-0010-0000-0B00-000003000000}" name="Exemplos de 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C000000}" name="PrioridadeTable" displayName="PrioridadeTable" ref="A37:B41">
  <tableColumns count="2">
    <tableColumn id="1" xr3:uid="{00000000-0010-0000-0C00-000001000000}" name="Índice calculado"/>
    <tableColumn id="2" xr3:uid="{00000000-0010-0000-0C00-000002000000}" name="Prioridad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D000000}" name="PlanoAtaqueTable" displayName="PlanoAtaqueTable" ref="A4:E14">
  <tableColumns count="5">
    <tableColumn id="1" xr3:uid="{00000000-0010-0000-0D00-000001000000}" name="Condição encontrada no Mentor"/>
    <tableColumn id="2" xr3:uid="{00000000-0010-0000-0D00-000002000000}" name="Missão sugerida"/>
    <tableColumn id="3" xr3:uid="{00000000-0010-0000-0D00-000003000000}" name="Objetivo"/>
    <tableColumn id="4" xr3:uid="{00000000-0010-0000-0D00-000004000000}" name="Quando aparece"/>
    <tableColumn id="5" xr3:uid="{00000000-0010-0000-0D00-000005000000}" name="Observaçõ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E000000}" name="BloqueioMissoesTable" displayName="BloqueioMissoesTable" ref="A17:C21">
  <tableColumns count="3">
    <tableColumn id="1" xr3:uid="{00000000-0010-0000-0E00-000001000000}" name="Status da missão anterior"/>
    <tableColumn id="2" xr3:uid="{00000000-0010-0000-0E00-000002000000}" name="Pode iniciar nova missão?"/>
    <tableColumn id="3" xr3:uid="{00000000-0010-0000-0E00-000003000000}" name="Mensagem ao vendedor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F000000}" name="TesteClientesTable" displayName="TesteClientesTable" ref="A4:AE104">
  <tableColumns count="31">
    <tableColumn id="1" xr3:uid="{00000000-0010-0000-0F00-000001000000}" name="Cliente"/>
    <tableColumn id="2" xr3:uid="{00000000-0010-0000-0F00-000002000000}" name="Canal Comercial"/>
    <tableColumn id="3" xr3:uid="{00000000-0010-0000-0F00-000003000000}" name="Origem Detalhada"/>
    <tableColumn id="4" xr3:uid="{00000000-0010-0000-0F00-000004000000}" name="Status ID"/>
    <tableColumn id="5" xr3:uid="{00000000-0010-0000-0F00-000005000000}" name="Status atual"/>
    <tableColumn id="6" xr3:uid="{00000000-0010-0000-0F00-000006000000}" name="Família"/>
    <tableColumn id="7" xr3:uid="{00000000-0010-0000-0F00-000007000000}" name="Responsável"/>
    <tableColumn id="8" xr3:uid="{00000000-0010-0000-0F00-000008000000}" name="Temperatura"/>
    <tableColumn id="9" xr3:uid="{00000000-0010-0000-0F00-000009000000}" name="Objetivo"/>
    <tableColumn id="10" xr3:uid="{00000000-0010-0000-0F00-00000A000000}" name="Próximo passo"/>
    <tableColumn id="11" xr3:uid="{00000000-0010-0000-0F00-00000B000000}" name="Cadência"/>
    <tableColumn id="12" xr3:uid="{00000000-0010-0000-0F00-00000C000000}" name="Script base"/>
    <tableColumn id="13" xr3:uid="{00000000-0010-0000-0F00-00000D000000}" name="Potencial"/>
    <tableColumn id="14" xr3:uid="{00000000-0010-0000-0F00-00000E000000}" name="Regra Central"/>
    <tableColumn id="15" xr3:uid="{00000000-0010-0000-0F00-00000F000000}" name="Por que está aqui"/>
    <tableColumn id="16" xr3:uid="{00000000-0010-0000-0F00-000010000000}" name="Próxima ação"/>
    <tableColumn id="17" xr3:uid="{00000000-0010-0000-0F00-000011000000}" name="Urgência"/>
    <tableColumn id="18" xr3:uid="{00000000-0010-0000-0F00-000012000000}" name="Pontos urgência"/>
    <tableColumn id="19" xr3:uid="{00000000-0010-0000-0F00-000013000000}" name="Status coerente (0/15)"/>
    <tableColumn id="20" xr3:uid="{00000000-0010-0000-0F00-000014000000}" name="Próximo passo/data (0/20)"/>
    <tableColumn id="21" xr3:uid="{00000000-0010-0000-0F00-000015000000}" name="Execução prazo (0/30)"/>
    <tableColumn id="22" xr3:uid="{00000000-0010-0000-0F00-000016000000}" name="Cadência (0/20)"/>
    <tableColumn id="23" xr3:uid="{00000000-0010-0000-0F00-000017000000}" name="Histórico (0/15)"/>
    <tableColumn id="24" xr3:uid="{00000000-0010-0000-0F00-000018000000}" name="Score"/>
    <tableColumn id="25" xr3:uid="{00000000-0010-0000-0F00-000019000000}" name="Classificação"/>
    <tableColumn id="26" xr3:uid="{00000000-0010-0000-0F00-00001A000000}" name="Pontos Potencial"/>
    <tableColumn id="27" xr3:uid="{00000000-0010-0000-0F00-00001B000000}" name="Risco Condução"/>
    <tableColumn id="28" xr3:uid="{00000000-0010-0000-0F00-00001C000000}" name="Índice Prioridade"/>
    <tableColumn id="29" xr3:uid="{00000000-0010-0000-0F00-00001D000000}" name="Prioridade"/>
    <tableColumn id="30" xr3:uid="{00000000-0010-0000-0F00-00001E000000}" name="Ação na Central?"/>
    <tableColumn id="31" xr3:uid="{00000000-0010-0000-0F00-00001F000000}" name="Observação do tes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0000000}" name="IntegracoesTable" displayName="IntegracoesTable" ref="A3:E21">
  <tableColumns count="5">
    <tableColumn id="1" xr3:uid="{00000000-0010-0000-1000-000001000000}" name="Origem / Módulo"/>
    <tableColumn id="2" xr3:uid="{00000000-0010-0000-1000-000002000000}" name="Evento / Condição"/>
    <tableColumn id="3" xr3:uid="{00000000-0010-0000-1000-000003000000}" name="Ação do Mentor Comercial"/>
    <tableColumn id="4" xr3:uid="{00000000-0010-0000-1000-000004000000}" name="Regra importante"/>
    <tableColumn id="5" xr3:uid="{00000000-0010-0000-1000-000005000000}" name="Destino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1000000}" name="CenariosTable" displayName="CenariosTable" ref="A3:G18">
  <tableColumns count="7">
    <tableColumn id="1" xr3:uid="{00000000-0010-0000-1100-000001000000}" name="Cenário"/>
    <tableColumn id="2" xr3:uid="{00000000-0010-0000-1100-000002000000}" name="Entrada"/>
    <tableColumn id="3" xr3:uid="{00000000-0010-0000-1100-000003000000}" name="Status esperado"/>
    <tableColumn id="4" xr3:uid="{00000000-0010-0000-1100-000004000000}" name="Próximo passo esperado"/>
    <tableColumn id="5" xr3:uid="{00000000-0010-0000-1100-000005000000}" name="Central?"/>
    <tableColumn id="6" xr3:uid="{00000000-0010-0000-1100-000006000000}" name="Score/Prioridade esperados"/>
    <tableColumn id="7" xr3:uid="{00000000-0010-0000-1100-000007000000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4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sqref="A1:B1"/>
    </sheetView>
  </sheetViews>
  <sheetFormatPr defaultRowHeight="14"/>
  <cols>
    <col min="1" max="1" width="28" customWidth="1"/>
    <col min="2" max="2" width="110" customWidth="1"/>
    <col min="4" max="4" width="28" customWidth="1"/>
    <col min="5" max="5" width="16" customWidth="1"/>
  </cols>
  <sheetData>
    <row r="1" spans="1:5" ht="23">
      <c r="A1" s="7" t="s">
        <v>0</v>
      </c>
      <c r="B1" s="8"/>
    </row>
    <row r="2" spans="1:5">
      <c r="A2" s="9" t="s">
        <v>1</v>
      </c>
      <c r="B2" s="8"/>
    </row>
    <row r="3" spans="1:5" ht="22.65" customHeight="1">
      <c r="A3" s="2" t="s">
        <v>2</v>
      </c>
      <c r="B3" s="2" t="s">
        <v>3</v>
      </c>
    </row>
    <row r="4" spans="1:5">
      <c r="A4" s="4" t="s">
        <v>4</v>
      </c>
      <c r="B4" s="4" t="s">
        <v>5</v>
      </c>
      <c r="D4" s="1" t="s">
        <v>6</v>
      </c>
      <c r="E4" s="1" t="s">
        <v>7</v>
      </c>
    </row>
    <row r="5" spans="1:5" ht="28">
      <c r="A5" s="4" t="s">
        <v>8</v>
      </c>
      <c r="B5" s="4" t="s">
        <v>9</v>
      </c>
      <c r="D5" t="s">
        <v>10</v>
      </c>
      <c r="E5">
        <v>86</v>
      </c>
    </row>
    <row r="6" spans="1:5" ht="28">
      <c r="A6" s="4" t="s">
        <v>11</v>
      </c>
      <c r="B6" s="4" t="s">
        <v>12</v>
      </c>
      <c r="D6" t="s">
        <v>13</v>
      </c>
      <c r="E6">
        <v>77</v>
      </c>
    </row>
    <row r="7" spans="1:5" ht="28">
      <c r="A7" s="4" t="s">
        <v>14</v>
      </c>
      <c r="B7" s="4" t="s">
        <v>15</v>
      </c>
      <c r="D7" t="s">
        <v>16</v>
      </c>
      <c r="E7">
        <v>13</v>
      </c>
    </row>
    <row r="8" spans="1:5" ht="28">
      <c r="A8" s="4" t="s">
        <v>17</v>
      </c>
      <c r="B8" s="4" t="s">
        <v>18</v>
      </c>
      <c r="D8" t="s">
        <v>19</v>
      </c>
      <c r="E8">
        <v>52</v>
      </c>
    </row>
    <row r="9" spans="1:5">
      <c r="A9" s="4" t="s">
        <v>20</v>
      </c>
      <c r="B9" s="4" t="s">
        <v>21</v>
      </c>
      <c r="D9" t="s">
        <v>22</v>
      </c>
      <c r="E9">
        <v>15</v>
      </c>
    </row>
    <row r="12" spans="1:5">
      <c r="D12" s="1" t="s">
        <v>23</v>
      </c>
      <c r="E12" s="1" t="s">
        <v>24</v>
      </c>
    </row>
    <row r="13" spans="1:5">
      <c r="D13" t="s">
        <v>25</v>
      </c>
      <c r="E13">
        <v>11</v>
      </c>
    </row>
    <row r="14" spans="1:5">
      <c r="D14" t="s">
        <v>26</v>
      </c>
      <c r="E14">
        <v>9</v>
      </c>
    </row>
    <row r="15" spans="1:5">
      <c r="D15" t="s">
        <v>27</v>
      </c>
      <c r="E15">
        <v>14</v>
      </c>
    </row>
    <row r="16" spans="1:5">
      <c r="D16" t="s">
        <v>28</v>
      </c>
      <c r="E16">
        <v>6</v>
      </c>
    </row>
    <row r="17" spans="4:5">
      <c r="D17" t="s">
        <v>29</v>
      </c>
      <c r="E17">
        <v>9</v>
      </c>
    </row>
    <row r="18" spans="4:5">
      <c r="D18" t="s">
        <v>30</v>
      </c>
      <c r="E18">
        <v>11</v>
      </c>
    </row>
    <row r="19" spans="4:5">
      <c r="D19" t="s">
        <v>31</v>
      </c>
      <c r="E19">
        <v>9</v>
      </c>
    </row>
    <row r="20" spans="4:5">
      <c r="D20" t="s">
        <v>32</v>
      </c>
      <c r="E20">
        <v>7</v>
      </c>
    </row>
    <row r="21" spans="4:5">
      <c r="D21" t="s">
        <v>33</v>
      </c>
      <c r="E21">
        <v>10</v>
      </c>
    </row>
  </sheetData>
  <mergeCells count="2">
    <mergeCell ref="A1:B1"/>
    <mergeCell ref="A2:B2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sqref="A1:F1"/>
    </sheetView>
  </sheetViews>
  <sheetFormatPr defaultRowHeight="14"/>
  <cols>
    <col min="1" max="1" width="18" customWidth="1"/>
    <col min="2" max="2" width="52" customWidth="1"/>
    <col min="3" max="3" width="42" customWidth="1"/>
    <col min="4" max="5" width="60" customWidth="1"/>
    <col min="6" max="6" width="52" customWidth="1"/>
  </cols>
  <sheetData>
    <row r="1" spans="1:6" ht="23">
      <c r="A1" s="7" t="s">
        <v>34</v>
      </c>
      <c r="B1" s="8"/>
      <c r="C1" s="8"/>
      <c r="D1" s="8"/>
      <c r="E1" s="8"/>
      <c r="F1" s="8"/>
    </row>
    <row r="2" spans="1:6">
      <c r="A2" s="9" t="s">
        <v>35</v>
      </c>
      <c r="B2" s="8"/>
      <c r="C2" s="8"/>
      <c r="D2" s="8"/>
      <c r="E2" s="8"/>
      <c r="F2" s="8"/>
    </row>
    <row r="3" spans="1:6" ht="22.65" customHeight="1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</row>
    <row r="4" spans="1:6" ht="42">
      <c r="A4" s="4" t="s">
        <v>42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</row>
    <row r="5" spans="1:6" ht="28">
      <c r="A5" s="4" t="s">
        <v>48</v>
      </c>
      <c r="B5" s="4" t="s">
        <v>49</v>
      </c>
      <c r="C5" s="4" t="s">
        <v>50</v>
      </c>
      <c r="D5" s="4" t="s">
        <v>51</v>
      </c>
      <c r="E5" s="4" t="s">
        <v>52</v>
      </c>
      <c r="F5" s="4" t="s">
        <v>53</v>
      </c>
    </row>
    <row r="6" spans="1:6" ht="42">
      <c r="A6" s="4" t="s">
        <v>54</v>
      </c>
      <c r="B6" s="4" t="s">
        <v>55</v>
      </c>
      <c r="C6" s="4" t="s">
        <v>56</v>
      </c>
      <c r="D6" s="4" t="s">
        <v>57</v>
      </c>
      <c r="E6" s="4" t="s">
        <v>58</v>
      </c>
      <c r="F6" s="4" t="s">
        <v>59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9"/>
  <sheetViews>
    <sheetView workbookViewId="0">
      <selection sqref="A1:R1"/>
    </sheetView>
  </sheetViews>
  <sheetFormatPr defaultRowHeight="14"/>
  <cols>
    <col min="1" max="1" width="14" customWidth="1"/>
    <col min="2" max="2" width="16" customWidth="1"/>
    <col min="3" max="3" width="18" customWidth="1"/>
    <col min="4" max="4" width="34" customWidth="1"/>
    <col min="5" max="5" width="52" customWidth="1"/>
    <col min="6" max="6" width="18" customWidth="1"/>
    <col min="7" max="7" width="20" customWidth="1"/>
    <col min="8" max="8" width="16" customWidth="1"/>
    <col min="9" max="9" width="28" customWidth="1"/>
    <col min="10" max="10" width="36" customWidth="1"/>
    <col min="11" max="11" width="18" customWidth="1"/>
    <col min="12" max="12" width="24" customWidth="1"/>
    <col min="13" max="13" width="16" customWidth="1"/>
    <col min="14" max="14" width="30" customWidth="1"/>
    <col min="15" max="15" width="16" customWidth="1"/>
    <col min="16" max="16" width="52" customWidth="1"/>
    <col min="17" max="17" width="42" customWidth="1"/>
    <col min="18" max="18" width="48" customWidth="1"/>
  </cols>
  <sheetData>
    <row r="1" spans="1:18" ht="23">
      <c r="A1" s="7" t="s">
        <v>60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>
      <c r="A2" s="9" t="s">
        <v>61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22.65" customHeight="1">
      <c r="A3" s="2" t="s">
        <v>62</v>
      </c>
      <c r="B3" s="2" t="s">
        <v>63</v>
      </c>
      <c r="C3" s="2" t="s">
        <v>23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70</v>
      </c>
      <c r="K3" s="2" t="s">
        <v>71</v>
      </c>
      <c r="L3" s="2" t="s">
        <v>72</v>
      </c>
      <c r="M3" s="2" t="s">
        <v>73</v>
      </c>
      <c r="N3" s="2" t="s">
        <v>74</v>
      </c>
      <c r="O3" s="2" t="s">
        <v>75</v>
      </c>
      <c r="P3" s="2" t="s">
        <v>76</v>
      </c>
      <c r="Q3" s="2" t="s">
        <v>77</v>
      </c>
      <c r="R3" s="2" t="s">
        <v>78</v>
      </c>
    </row>
    <row r="4" spans="1:18" ht="28">
      <c r="A4" s="4" t="s">
        <v>79</v>
      </c>
      <c r="B4" s="4" t="s">
        <v>48</v>
      </c>
      <c r="C4" s="4" t="s">
        <v>25</v>
      </c>
      <c r="D4" s="4" t="s">
        <v>80</v>
      </c>
      <c r="E4" s="4" t="s">
        <v>81</v>
      </c>
      <c r="F4" s="4" t="s">
        <v>82</v>
      </c>
      <c r="G4" s="4" t="s">
        <v>83</v>
      </c>
      <c r="H4" s="4" t="s">
        <v>84</v>
      </c>
      <c r="I4" s="4" t="s">
        <v>85</v>
      </c>
      <c r="J4" s="4" t="s">
        <v>86</v>
      </c>
      <c r="K4" s="4" t="s">
        <v>87</v>
      </c>
      <c r="L4" s="4" t="s">
        <v>88</v>
      </c>
      <c r="M4" s="4" t="s">
        <v>89</v>
      </c>
      <c r="N4" s="4" t="s">
        <v>90</v>
      </c>
      <c r="O4" s="4" t="s">
        <v>91</v>
      </c>
      <c r="P4" s="4" t="s">
        <v>92</v>
      </c>
      <c r="Q4" s="4" t="s">
        <v>93</v>
      </c>
      <c r="R4" s="4"/>
    </row>
    <row r="5" spans="1:18" ht="28">
      <c r="A5" s="4" t="s">
        <v>94</v>
      </c>
      <c r="B5" s="4" t="s">
        <v>48</v>
      </c>
      <c r="C5" s="4" t="s">
        <v>25</v>
      </c>
      <c r="D5" s="4" t="s">
        <v>95</v>
      </c>
      <c r="E5" s="4" t="s">
        <v>96</v>
      </c>
      <c r="F5" s="4" t="s">
        <v>97</v>
      </c>
      <c r="G5" s="4" t="s">
        <v>98</v>
      </c>
      <c r="H5" s="4" t="s">
        <v>99</v>
      </c>
      <c r="I5" s="4" t="s">
        <v>85</v>
      </c>
      <c r="J5" s="4" t="s">
        <v>100</v>
      </c>
      <c r="K5" s="4" t="s">
        <v>87</v>
      </c>
      <c r="L5" s="4" t="s">
        <v>101</v>
      </c>
      <c r="M5" s="4" t="s">
        <v>89</v>
      </c>
      <c r="N5" s="4" t="s">
        <v>102</v>
      </c>
      <c r="O5" s="4" t="s">
        <v>91</v>
      </c>
      <c r="P5" s="4" t="s">
        <v>103</v>
      </c>
      <c r="Q5" s="4" t="s">
        <v>104</v>
      </c>
      <c r="R5" s="4" t="s">
        <v>105</v>
      </c>
    </row>
    <row r="6" spans="1:18" ht="28">
      <c r="A6" s="4" t="s">
        <v>106</v>
      </c>
      <c r="B6" s="4" t="s">
        <v>48</v>
      </c>
      <c r="C6" s="4" t="s">
        <v>25</v>
      </c>
      <c r="D6" s="4" t="s">
        <v>107</v>
      </c>
      <c r="E6" s="4" t="s">
        <v>108</v>
      </c>
      <c r="F6" s="4" t="s">
        <v>109</v>
      </c>
      <c r="G6" s="4" t="s">
        <v>83</v>
      </c>
      <c r="H6" s="4" t="s">
        <v>84</v>
      </c>
      <c r="I6" s="4" t="s">
        <v>110</v>
      </c>
      <c r="J6" s="4" t="s">
        <v>111</v>
      </c>
      <c r="K6" s="4" t="s">
        <v>112</v>
      </c>
      <c r="L6" s="4" t="s">
        <v>113</v>
      </c>
      <c r="M6" s="4" t="s">
        <v>114</v>
      </c>
      <c r="N6" s="4" t="s">
        <v>115</v>
      </c>
      <c r="O6" s="4" t="s">
        <v>91</v>
      </c>
      <c r="P6" s="4" t="s">
        <v>116</v>
      </c>
      <c r="Q6" s="4" t="s">
        <v>117</v>
      </c>
      <c r="R6" s="4" t="s">
        <v>118</v>
      </c>
    </row>
    <row r="7" spans="1:18" ht="28">
      <c r="A7" s="4" t="s">
        <v>119</v>
      </c>
      <c r="B7" s="4" t="s">
        <v>48</v>
      </c>
      <c r="C7" s="4" t="s">
        <v>25</v>
      </c>
      <c r="D7" s="4" t="s">
        <v>120</v>
      </c>
      <c r="E7" s="4" t="s">
        <v>121</v>
      </c>
      <c r="F7" s="4" t="s">
        <v>122</v>
      </c>
      <c r="G7" s="4" t="s">
        <v>83</v>
      </c>
      <c r="H7" s="4" t="s">
        <v>123</v>
      </c>
      <c r="I7" s="4" t="s">
        <v>124</v>
      </c>
      <c r="J7" s="4" t="s">
        <v>125</v>
      </c>
      <c r="K7" s="4" t="s">
        <v>126</v>
      </c>
      <c r="L7" s="4" t="s">
        <v>127</v>
      </c>
      <c r="M7" s="4" t="s">
        <v>89</v>
      </c>
      <c r="N7" s="4" t="s">
        <v>128</v>
      </c>
      <c r="O7" s="4" t="s">
        <v>91</v>
      </c>
      <c r="P7" s="4" t="s">
        <v>129</v>
      </c>
      <c r="Q7" s="4" t="s">
        <v>130</v>
      </c>
      <c r="R7" s="4"/>
    </row>
    <row r="8" spans="1:18">
      <c r="A8" s="4" t="s">
        <v>131</v>
      </c>
      <c r="B8" s="4" t="s">
        <v>48</v>
      </c>
      <c r="C8" s="4" t="s">
        <v>25</v>
      </c>
      <c r="D8" s="4" t="s">
        <v>132</v>
      </c>
      <c r="E8" s="4" t="s">
        <v>133</v>
      </c>
      <c r="F8" s="4" t="s">
        <v>122</v>
      </c>
      <c r="G8" s="4" t="s">
        <v>134</v>
      </c>
      <c r="H8" s="4" t="s">
        <v>123</v>
      </c>
      <c r="I8" s="4" t="s">
        <v>135</v>
      </c>
      <c r="J8" s="4" t="s">
        <v>136</v>
      </c>
      <c r="K8" s="4" t="s">
        <v>137</v>
      </c>
      <c r="L8" s="4" t="s">
        <v>127</v>
      </c>
      <c r="M8" s="4" t="s">
        <v>89</v>
      </c>
      <c r="N8" s="4" t="s">
        <v>138</v>
      </c>
      <c r="O8" s="4" t="s">
        <v>139</v>
      </c>
      <c r="P8" s="4" t="s">
        <v>140</v>
      </c>
      <c r="Q8" s="4" t="s">
        <v>141</v>
      </c>
      <c r="R8" s="4"/>
    </row>
    <row r="9" spans="1:18">
      <c r="A9" s="4" t="s">
        <v>142</v>
      </c>
      <c r="B9" s="4" t="s">
        <v>48</v>
      </c>
      <c r="C9" s="4" t="s">
        <v>25</v>
      </c>
      <c r="D9" s="4" t="s">
        <v>143</v>
      </c>
      <c r="E9" s="4" t="s">
        <v>144</v>
      </c>
      <c r="F9" s="4" t="s">
        <v>82</v>
      </c>
      <c r="G9" s="4" t="s">
        <v>134</v>
      </c>
      <c r="H9" s="4" t="s">
        <v>145</v>
      </c>
      <c r="I9" s="4" t="s">
        <v>146</v>
      </c>
      <c r="J9" s="4" t="s">
        <v>147</v>
      </c>
      <c r="K9" s="4" t="s">
        <v>148</v>
      </c>
      <c r="L9" s="4" t="s">
        <v>127</v>
      </c>
      <c r="M9" s="4" t="s">
        <v>89</v>
      </c>
      <c r="N9" s="4" t="s">
        <v>138</v>
      </c>
      <c r="O9" s="4" t="s">
        <v>139</v>
      </c>
      <c r="P9" s="4" t="s">
        <v>149</v>
      </c>
      <c r="Q9" s="4" t="s">
        <v>150</v>
      </c>
      <c r="R9" s="4" t="s">
        <v>151</v>
      </c>
    </row>
    <row r="10" spans="1:18" ht="28">
      <c r="A10" s="4" t="s">
        <v>152</v>
      </c>
      <c r="B10" s="4" t="s">
        <v>48</v>
      </c>
      <c r="C10" s="4" t="s">
        <v>29</v>
      </c>
      <c r="D10" s="4" t="s">
        <v>153</v>
      </c>
      <c r="E10" s="4" t="s">
        <v>154</v>
      </c>
      <c r="F10" s="4" t="s">
        <v>122</v>
      </c>
      <c r="G10" s="4" t="s">
        <v>83</v>
      </c>
      <c r="H10" s="4" t="s">
        <v>84</v>
      </c>
      <c r="I10" s="4" t="s">
        <v>155</v>
      </c>
      <c r="J10" s="4" t="s">
        <v>156</v>
      </c>
      <c r="K10" s="4" t="s">
        <v>157</v>
      </c>
      <c r="L10" s="4" t="s">
        <v>113</v>
      </c>
      <c r="M10" s="4" t="s">
        <v>114</v>
      </c>
      <c r="N10" s="4" t="s">
        <v>90</v>
      </c>
      <c r="O10" s="4" t="s">
        <v>91</v>
      </c>
      <c r="P10" s="4" t="s">
        <v>158</v>
      </c>
      <c r="Q10" s="4" t="s">
        <v>159</v>
      </c>
      <c r="R10" s="4"/>
    </row>
    <row r="11" spans="1:18" ht="28">
      <c r="A11" s="4" t="s">
        <v>160</v>
      </c>
      <c r="B11" s="4" t="s">
        <v>48</v>
      </c>
      <c r="C11" s="4" t="s">
        <v>29</v>
      </c>
      <c r="D11" s="4" t="s">
        <v>161</v>
      </c>
      <c r="E11" s="4" t="s">
        <v>162</v>
      </c>
      <c r="F11" s="4" t="s">
        <v>122</v>
      </c>
      <c r="G11" s="4" t="s">
        <v>83</v>
      </c>
      <c r="H11" s="4" t="s">
        <v>84</v>
      </c>
      <c r="I11" s="4" t="s">
        <v>163</v>
      </c>
      <c r="J11" s="4" t="s">
        <v>164</v>
      </c>
      <c r="K11" s="4" t="s">
        <v>157</v>
      </c>
      <c r="L11" s="4" t="s">
        <v>165</v>
      </c>
      <c r="M11" s="4" t="s">
        <v>114</v>
      </c>
      <c r="N11" s="4" t="s">
        <v>166</v>
      </c>
      <c r="O11" s="4" t="s">
        <v>91</v>
      </c>
      <c r="P11" s="4" t="s">
        <v>167</v>
      </c>
      <c r="Q11" s="4" t="s">
        <v>168</v>
      </c>
      <c r="R11" s="4"/>
    </row>
    <row r="12" spans="1:18" ht="28">
      <c r="A12" s="4" t="s">
        <v>169</v>
      </c>
      <c r="B12" s="4" t="s">
        <v>48</v>
      </c>
      <c r="C12" s="4" t="s">
        <v>29</v>
      </c>
      <c r="D12" s="4" t="s">
        <v>170</v>
      </c>
      <c r="E12" s="4" t="s">
        <v>171</v>
      </c>
      <c r="F12" s="4" t="s">
        <v>122</v>
      </c>
      <c r="G12" s="4" t="s">
        <v>83</v>
      </c>
      <c r="H12" s="4" t="s">
        <v>84</v>
      </c>
      <c r="I12" s="4" t="s">
        <v>172</v>
      </c>
      <c r="J12" s="4" t="s">
        <v>173</v>
      </c>
      <c r="K12" s="4" t="s">
        <v>157</v>
      </c>
      <c r="L12" s="4" t="s">
        <v>174</v>
      </c>
      <c r="M12" s="4" t="s">
        <v>114</v>
      </c>
      <c r="N12" s="4" t="s">
        <v>166</v>
      </c>
      <c r="O12" s="4" t="s">
        <v>91</v>
      </c>
      <c r="P12" s="4" t="s">
        <v>175</v>
      </c>
      <c r="Q12" s="4" t="s">
        <v>176</v>
      </c>
      <c r="R12" s="4"/>
    </row>
    <row r="13" spans="1:18" ht="28">
      <c r="A13" s="4" t="s">
        <v>177</v>
      </c>
      <c r="B13" s="4" t="s">
        <v>48</v>
      </c>
      <c r="C13" s="4" t="s">
        <v>29</v>
      </c>
      <c r="D13" s="4" t="s">
        <v>178</v>
      </c>
      <c r="E13" s="4" t="s">
        <v>179</v>
      </c>
      <c r="F13" s="4" t="s">
        <v>180</v>
      </c>
      <c r="G13" s="4" t="s">
        <v>83</v>
      </c>
      <c r="H13" s="4" t="s">
        <v>181</v>
      </c>
      <c r="I13" s="4" t="s">
        <v>182</v>
      </c>
      <c r="J13" s="4" t="s">
        <v>183</v>
      </c>
      <c r="K13" s="4" t="s">
        <v>184</v>
      </c>
      <c r="L13" s="4" t="s">
        <v>185</v>
      </c>
      <c r="M13" s="4" t="s">
        <v>186</v>
      </c>
      <c r="N13" s="4" t="s">
        <v>166</v>
      </c>
      <c r="O13" s="4" t="s">
        <v>91</v>
      </c>
      <c r="P13" s="4" t="s">
        <v>187</v>
      </c>
      <c r="Q13" s="4" t="s">
        <v>188</v>
      </c>
      <c r="R13" s="4"/>
    </row>
    <row r="14" spans="1:18">
      <c r="A14" s="4" t="s">
        <v>189</v>
      </c>
      <c r="B14" s="4" t="s">
        <v>48</v>
      </c>
      <c r="C14" s="4" t="s">
        <v>29</v>
      </c>
      <c r="D14" s="4" t="s">
        <v>190</v>
      </c>
      <c r="E14" s="4" t="s">
        <v>191</v>
      </c>
      <c r="F14" s="4" t="s">
        <v>122</v>
      </c>
      <c r="G14" s="4" t="s">
        <v>192</v>
      </c>
      <c r="H14" s="4" t="s">
        <v>193</v>
      </c>
      <c r="I14" s="4" t="s">
        <v>146</v>
      </c>
      <c r="J14" s="4" t="s">
        <v>194</v>
      </c>
      <c r="K14" s="4" t="s">
        <v>195</v>
      </c>
      <c r="L14" s="4" t="s">
        <v>196</v>
      </c>
      <c r="M14" s="4" t="s">
        <v>89</v>
      </c>
      <c r="N14" s="4" t="s">
        <v>197</v>
      </c>
      <c r="O14" s="4" t="s">
        <v>198</v>
      </c>
      <c r="P14" s="4" t="s">
        <v>199</v>
      </c>
      <c r="Q14" s="4" t="s">
        <v>200</v>
      </c>
      <c r="R14" s="4"/>
    </row>
    <row r="15" spans="1:18">
      <c r="A15" s="4" t="s">
        <v>201</v>
      </c>
      <c r="B15" s="4" t="s">
        <v>48</v>
      </c>
      <c r="C15" s="4" t="s">
        <v>29</v>
      </c>
      <c r="D15" s="4" t="s">
        <v>202</v>
      </c>
      <c r="E15" s="4" t="s">
        <v>203</v>
      </c>
      <c r="F15" s="4" t="s">
        <v>122</v>
      </c>
      <c r="G15" s="4" t="s">
        <v>204</v>
      </c>
      <c r="H15" s="4" t="s">
        <v>84</v>
      </c>
      <c r="I15" s="4" t="s">
        <v>205</v>
      </c>
      <c r="J15" s="4" t="s">
        <v>206</v>
      </c>
      <c r="K15" s="4" t="s">
        <v>207</v>
      </c>
      <c r="L15" s="4" t="s">
        <v>127</v>
      </c>
      <c r="M15" s="4" t="s">
        <v>114</v>
      </c>
      <c r="N15" s="4" t="s">
        <v>208</v>
      </c>
      <c r="O15" s="4" t="s">
        <v>91</v>
      </c>
      <c r="P15" s="4" t="s">
        <v>209</v>
      </c>
      <c r="Q15" s="4" t="s">
        <v>210</v>
      </c>
      <c r="R15" s="4"/>
    </row>
    <row r="16" spans="1:18" ht="28">
      <c r="A16" s="4" t="s">
        <v>211</v>
      </c>
      <c r="B16" s="4" t="s">
        <v>48</v>
      </c>
      <c r="C16" s="4" t="s">
        <v>29</v>
      </c>
      <c r="D16" s="4" t="s">
        <v>212</v>
      </c>
      <c r="E16" s="4" t="s">
        <v>213</v>
      </c>
      <c r="F16" s="4" t="s">
        <v>122</v>
      </c>
      <c r="G16" s="4" t="s">
        <v>83</v>
      </c>
      <c r="H16" s="4" t="s">
        <v>145</v>
      </c>
      <c r="I16" s="4" t="s">
        <v>214</v>
      </c>
      <c r="J16" s="4" t="s">
        <v>215</v>
      </c>
      <c r="K16" s="4" t="s">
        <v>216</v>
      </c>
      <c r="L16" s="4" t="s">
        <v>217</v>
      </c>
      <c r="M16" s="4" t="s">
        <v>89</v>
      </c>
      <c r="N16" s="4" t="s">
        <v>166</v>
      </c>
      <c r="O16" s="4" t="s">
        <v>91</v>
      </c>
      <c r="P16" s="4" t="s">
        <v>218</v>
      </c>
      <c r="Q16" s="4" t="s">
        <v>219</v>
      </c>
      <c r="R16" s="4"/>
    </row>
    <row r="17" spans="1:18" ht="28">
      <c r="A17" s="4" t="s">
        <v>220</v>
      </c>
      <c r="B17" s="4" t="s">
        <v>48</v>
      </c>
      <c r="C17" s="4" t="s">
        <v>29</v>
      </c>
      <c r="D17" s="4" t="s">
        <v>221</v>
      </c>
      <c r="E17" s="4" t="s">
        <v>222</v>
      </c>
      <c r="F17" s="4" t="s">
        <v>180</v>
      </c>
      <c r="G17" s="4" t="s">
        <v>83</v>
      </c>
      <c r="H17" s="4" t="s">
        <v>181</v>
      </c>
      <c r="I17" s="4" t="s">
        <v>182</v>
      </c>
      <c r="J17" s="4" t="s">
        <v>183</v>
      </c>
      <c r="K17" s="4" t="s">
        <v>184</v>
      </c>
      <c r="L17" s="4" t="s">
        <v>185</v>
      </c>
      <c r="M17" s="4" t="s">
        <v>186</v>
      </c>
      <c r="N17" s="4" t="s">
        <v>166</v>
      </c>
      <c r="O17" s="4" t="s">
        <v>91</v>
      </c>
      <c r="P17" s="4" t="s">
        <v>223</v>
      </c>
      <c r="Q17" s="4" t="s">
        <v>224</v>
      </c>
      <c r="R17" s="4"/>
    </row>
    <row r="18" spans="1:18">
      <c r="A18" s="4" t="s">
        <v>225</v>
      </c>
      <c r="B18" s="4" t="s">
        <v>48</v>
      </c>
      <c r="C18" s="4" t="s">
        <v>33</v>
      </c>
      <c r="D18" s="4" t="s">
        <v>226</v>
      </c>
      <c r="E18" s="4" t="s">
        <v>227</v>
      </c>
      <c r="F18" s="4" t="s">
        <v>122</v>
      </c>
      <c r="G18" s="4" t="s">
        <v>228</v>
      </c>
      <c r="H18" s="4" t="s">
        <v>181</v>
      </c>
      <c r="I18" s="4" t="s">
        <v>229</v>
      </c>
      <c r="J18" s="4" t="s">
        <v>230</v>
      </c>
      <c r="K18" s="4" t="s">
        <v>231</v>
      </c>
      <c r="L18" s="4" t="s">
        <v>232</v>
      </c>
      <c r="M18" s="4" t="s">
        <v>186</v>
      </c>
      <c r="N18" s="4" t="s">
        <v>166</v>
      </c>
      <c r="O18" s="4" t="s">
        <v>91</v>
      </c>
      <c r="P18" s="4" t="s">
        <v>233</v>
      </c>
      <c r="Q18" s="4" t="s">
        <v>234</v>
      </c>
      <c r="R18" s="4"/>
    </row>
    <row r="19" spans="1:18" ht="28">
      <c r="A19" s="4" t="s">
        <v>235</v>
      </c>
      <c r="B19" s="4" t="s">
        <v>48</v>
      </c>
      <c r="C19" s="4" t="s">
        <v>33</v>
      </c>
      <c r="D19" s="4" t="s">
        <v>236</v>
      </c>
      <c r="E19" s="4" t="s">
        <v>237</v>
      </c>
      <c r="F19" s="4" t="s">
        <v>82</v>
      </c>
      <c r="G19" s="4" t="s">
        <v>192</v>
      </c>
      <c r="H19" s="4" t="s">
        <v>181</v>
      </c>
      <c r="I19" s="4" t="s">
        <v>238</v>
      </c>
      <c r="J19" s="4" t="s">
        <v>239</v>
      </c>
      <c r="K19" s="4" t="s">
        <v>240</v>
      </c>
      <c r="L19" s="4" t="s">
        <v>241</v>
      </c>
      <c r="M19" s="4" t="s">
        <v>186</v>
      </c>
      <c r="N19" s="4" t="s">
        <v>242</v>
      </c>
      <c r="O19" s="4" t="s">
        <v>91</v>
      </c>
      <c r="P19" s="4" t="s">
        <v>243</v>
      </c>
      <c r="Q19" s="4" t="s">
        <v>244</v>
      </c>
      <c r="R19" s="4"/>
    </row>
    <row r="20" spans="1:18" ht="28">
      <c r="A20" s="4" t="s">
        <v>245</v>
      </c>
      <c r="B20" s="4" t="s">
        <v>48</v>
      </c>
      <c r="C20" s="4" t="s">
        <v>33</v>
      </c>
      <c r="D20" s="4" t="s">
        <v>246</v>
      </c>
      <c r="E20" s="4" t="s">
        <v>247</v>
      </c>
      <c r="F20" s="4" t="s">
        <v>248</v>
      </c>
      <c r="G20" s="4" t="s">
        <v>83</v>
      </c>
      <c r="H20" s="4" t="s">
        <v>181</v>
      </c>
      <c r="I20" s="4" t="s">
        <v>249</v>
      </c>
      <c r="J20" s="4" t="s">
        <v>249</v>
      </c>
      <c r="K20" s="4" t="s">
        <v>250</v>
      </c>
      <c r="L20" s="4" t="s">
        <v>251</v>
      </c>
      <c r="M20" s="4" t="s">
        <v>186</v>
      </c>
      <c r="N20" s="4" t="s">
        <v>252</v>
      </c>
      <c r="O20" s="4" t="s">
        <v>91</v>
      </c>
      <c r="P20" s="4" t="s">
        <v>253</v>
      </c>
      <c r="Q20" s="4" t="s">
        <v>254</v>
      </c>
      <c r="R20" s="4"/>
    </row>
    <row r="21" spans="1:18">
      <c r="A21" s="4" t="s">
        <v>255</v>
      </c>
      <c r="B21" s="4" t="s">
        <v>48</v>
      </c>
      <c r="C21" s="4" t="s">
        <v>33</v>
      </c>
      <c r="D21" s="4" t="s">
        <v>256</v>
      </c>
      <c r="E21" s="4" t="s">
        <v>257</v>
      </c>
      <c r="F21" s="4" t="s">
        <v>122</v>
      </c>
      <c r="G21" s="4" t="s">
        <v>258</v>
      </c>
      <c r="H21" s="4" t="s">
        <v>181</v>
      </c>
      <c r="I21" s="4" t="s">
        <v>259</v>
      </c>
      <c r="J21" s="4" t="s">
        <v>260</v>
      </c>
      <c r="K21" s="4" t="s">
        <v>261</v>
      </c>
      <c r="L21" s="4" t="s">
        <v>262</v>
      </c>
      <c r="M21" s="4" t="s">
        <v>186</v>
      </c>
      <c r="N21" s="4" t="s">
        <v>263</v>
      </c>
      <c r="O21" s="4" t="s">
        <v>91</v>
      </c>
      <c r="P21" s="4" t="s">
        <v>264</v>
      </c>
      <c r="Q21" s="4" t="s">
        <v>265</v>
      </c>
      <c r="R21" s="4"/>
    </row>
    <row r="22" spans="1:18">
      <c r="A22" s="4" t="s">
        <v>266</v>
      </c>
      <c r="B22" s="4" t="s">
        <v>48</v>
      </c>
      <c r="C22" s="4" t="s">
        <v>33</v>
      </c>
      <c r="D22" s="4" t="s">
        <v>267</v>
      </c>
      <c r="E22" s="4" t="s">
        <v>268</v>
      </c>
      <c r="F22" s="4" t="s">
        <v>248</v>
      </c>
      <c r="G22" s="4" t="s">
        <v>83</v>
      </c>
      <c r="H22" s="4" t="s">
        <v>181</v>
      </c>
      <c r="I22" s="4" t="s">
        <v>269</v>
      </c>
      <c r="J22" s="4" t="s">
        <v>270</v>
      </c>
      <c r="K22" s="4" t="s">
        <v>271</v>
      </c>
      <c r="L22" s="4" t="s">
        <v>272</v>
      </c>
      <c r="M22" s="4" t="s">
        <v>273</v>
      </c>
      <c r="N22" s="4" t="s">
        <v>252</v>
      </c>
      <c r="O22" s="4" t="s">
        <v>91</v>
      </c>
      <c r="P22" s="4" t="s">
        <v>274</v>
      </c>
      <c r="Q22" s="4" t="s">
        <v>275</v>
      </c>
      <c r="R22" s="4"/>
    </row>
    <row r="23" spans="1:18" ht="28">
      <c r="A23" s="4" t="s">
        <v>276</v>
      </c>
      <c r="B23" s="4" t="s">
        <v>48</v>
      </c>
      <c r="C23" s="4" t="s">
        <v>33</v>
      </c>
      <c r="D23" s="4" t="s">
        <v>277</v>
      </c>
      <c r="E23" s="4" t="s">
        <v>278</v>
      </c>
      <c r="F23" s="4" t="s">
        <v>122</v>
      </c>
      <c r="G23" s="4" t="s">
        <v>83</v>
      </c>
      <c r="H23" s="4" t="s">
        <v>279</v>
      </c>
      <c r="I23" s="4" t="s">
        <v>280</v>
      </c>
      <c r="J23" s="4" t="s">
        <v>281</v>
      </c>
      <c r="K23" s="4" t="s">
        <v>282</v>
      </c>
      <c r="L23" s="4" t="s">
        <v>283</v>
      </c>
      <c r="M23" s="4" t="s">
        <v>186</v>
      </c>
      <c r="N23" s="4" t="s">
        <v>166</v>
      </c>
      <c r="O23" s="4" t="s">
        <v>91</v>
      </c>
      <c r="P23" s="4" t="s">
        <v>284</v>
      </c>
      <c r="Q23" s="4" t="s">
        <v>285</v>
      </c>
      <c r="R23" s="4"/>
    </row>
    <row r="24" spans="1:18" ht="28">
      <c r="A24" s="4" t="s">
        <v>286</v>
      </c>
      <c r="B24" s="4" t="s">
        <v>48</v>
      </c>
      <c r="C24" s="4" t="s">
        <v>33</v>
      </c>
      <c r="D24" s="4" t="s">
        <v>287</v>
      </c>
      <c r="E24" s="4" t="s">
        <v>288</v>
      </c>
      <c r="F24" s="4" t="s">
        <v>289</v>
      </c>
      <c r="G24" s="4" t="s">
        <v>83</v>
      </c>
      <c r="H24" s="4" t="s">
        <v>279</v>
      </c>
      <c r="I24" s="4" t="s">
        <v>290</v>
      </c>
      <c r="J24" s="4" t="s">
        <v>291</v>
      </c>
      <c r="K24" s="4" t="s">
        <v>282</v>
      </c>
      <c r="L24" s="4" t="s">
        <v>283</v>
      </c>
      <c r="M24" s="4" t="s">
        <v>186</v>
      </c>
      <c r="N24" s="4" t="s">
        <v>252</v>
      </c>
      <c r="O24" s="4" t="s">
        <v>91</v>
      </c>
      <c r="P24" s="4" t="s">
        <v>292</v>
      </c>
      <c r="Q24" s="4" t="s">
        <v>293</v>
      </c>
      <c r="R24" s="4"/>
    </row>
    <row r="25" spans="1:18" ht="28">
      <c r="A25" s="4" t="s">
        <v>294</v>
      </c>
      <c r="B25" s="4" t="s">
        <v>48</v>
      </c>
      <c r="C25" s="4" t="s">
        <v>33</v>
      </c>
      <c r="D25" s="4" t="s">
        <v>295</v>
      </c>
      <c r="E25" s="4" t="s">
        <v>296</v>
      </c>
      <c r="F25" s="4" t="s">
        <v>122</v>
      </c>
      <c r="G25" s="4" t="s">
        <v>83</v>
      </c>
      <c r="H25" s="4" t="s">
        <v>181</v>
      </c>
      <c r="I25" s="4" t="s">
        <v>297</v>
      </c>
      <c r="J25" s="4" t="s">
        <v>298</v>
      </c>
      <c r="K25" s="4" t="s">
        <v>299</v>
      </c>
      <c r="L25" s="4" t="s">
        <v>300</v>
      </c>
      <c r="M25" s="4" t="s">
        <v>273</v>
      </c>
      <c r="N25" s="4" t="s">
        <v>252</v>
      </c>
      <c r="O25" s="4" t="s">
        <v>91</v>
      </c>
      <c r="P25" s="4" t="s">
        <v>301</v>
      </c>
      <c r="Q25" s="4" t="s">
        <v>302</v>
      </c>
      <c r="R25" s="4"/>
    </row>
    <row r="26" spans="1:18">
      <c r="A26" s="4" t="s">
        <v>303</v>
      </c>
      <c r="B26" s="4" t="s">
        <v>48</v>
      </c>
      <c r="C26" s="4" t="s">
        <v>27</v>
      </c>
      <c r="D26" s="4" t="s">
        <v>304</v>
      </c>
      <c r="E26" s="4" t="s">
        <v>305</v>
      </c>
      <c r="F26" s="4" t="s">
        <v>289</v>
      </c>
      <c r="G26" s="4" t="s">
        <v>83</v>
      </c>
      <c r="H26" s="4" t="s">
        <v>181</v>
      </c>
      <c r="I26" s="4" t="s">
        <v>306</v>
      </c>
      <c r="J26" s="4" t="s">
        <v>307</v>
      </c>
      <c r="K26" s="4" t="s">
        <v>252</v>
      </c>
      <c r="L26" s="4" t="s">
        <v>308</v>
      </c>
      <c r="M26" s="4" t="s">
        <v>273</v>
      </c>
      <c r="N26" s="4" t="s">
        <v>252</v>
      </c>
      <c r="O26" s="4" t="s">
        <v>91</v>
      </c>
      <c r="P26" s="4" t="s">
        <v>309</v>
      </c>
      <c r="Q26" s="4" t="s">
        <v>310</v>
      </c>
      <c r="R26" s="4"/>
    </row>
    <row r="27" spans="1:18" ht="28">
      <c r="A27" s="4" t="s">
        <v>311</v>
      </c>
      <c r="B27" s="4" t="s">
        <v>48</v>
      </c>
      <c r="C27" s="4" t="s">
        <v>27</v>
      </c>
      <c r="D27" s="4" t="s">
        <v>312</v>
      </c>
      <c r="E27" s="4" t="s">
        <v>313</v>
      </c>
      <c r="F27" s="4" t="s">
        <v>289</v>
      </c>
      <c r="G27" s="4" t="s">
        <v>98</v>
      </c>
      <c r="H27" s="4" t="s">
        <v>181</v>
      </c>
      <c r="I27" s="4" t="s">
        <v>314</v>
      </c>
      <c r="J27" s="4" t="s">
        <v>315</v>
      </c>
      <c r="K27" s="4" t="s">
        <v>216</v>
      </c>
      <c r="L27" s="4" t="s">
        <v>316</v>
      </c>
      <c r="M27" s="4" t="s">
        <v>186</v>
      </c>
      <c r="N27" s="4" t="s">
        <v>317</v>
      </c>
      <c r="O27" s="4" t="s">
        <v>91</v>
      </c>
      <c r="P27" s="4" t="s">
        <v>318</v>
      </c>
      <c r="Q27" s="4" t="s">
        <v>319</v>
      </c>
      <c r="R27" s="4"/>
    </row>
    <row r="28" spans="1:18" ht="28">
      <c r="A28" s="4" t="s">
        <v>320</v>
      </c>
      <c r="B28" s="4" t="s">
        <v>48</v>
      </c>
      <c r="C28" s="4" t="s">
        <v>27</v>
      </c>
      <c r="D28" s="4" t="s">
        <v>321</v>
      </c>
      <c r="E28" s="4" t="s">
        <v>322</v>
      </c>
      <c r="F28" s="4" t="s">
        <v>289</v>
      </c>
      <c r="G28" s="4" t="s">
        <v>83</v>
      </c>
      <c r="H28" s="4" t="s">
        <v>181</v>
      </c>
      <c r="I28" s="4" t="s">
        <v>323</v>
      </c>
      <c r="J28" s="4" t="s">
        <v>324</v>
      </c>
      <c r="K28" s="4" t="s">
        <v>216</v>
      </c>
      <c r="L28" s="4" t="s">
        <v>316</v>
      </c>
      <c r="M28" s="4" t="s">
        <v>186</v>
      </c>
      <c r="N28" s="4" t="s">
        <v>252</v>
      </c>
      <c r="O28" s="4" t="s">
        <v>91</v>
      </c>
      <c r="P28" s="4" t="s">
        <v>325</v>
      </c>
      <c r="Q28" s="4" t="s">
        <v>326</v>
      </c>
      <c r="R28" s="4"/>
    </row>
    <row r="29" spans="1:18" ht="28">
      <c r="A29" s="4" t="s">
        <v>327</v>
      </c>
      <c r="B29" s="4" t="s">
        <v>48</v>
      </c>
      <c r="C29" s="4" t="s">
        <v>27</v>
      </c>
      <c r="D29" s="4" t="s">
        <v>328</v>
      </c>
      <c r="E29" s="4" t="s">
        <v>329</v>
      </c>
      <c r="F29" s="4" t="s">
        <v>289</v>
      </c>
      <c r="G29" s="4" t="s">
        <v>228</v>
      </c>
      <c r="H29" s="4" t="s">
        <v>181</v>
      </c>
      <c r="I29" s="4" t="s">
        <v>330</v>
      </c>
      <c r="J29" s="4" t="s">
        <v>331</v>
      </c>
      <c r="K29" s="4" t="s">
        <v>112</v>
      </c>
      <c r="L29" s="4" t="s">
        <v>332</v>
      </c>
      <c r="M29" s="4" t="s">
        <v>273</v>
      </c>
      <c r="N29" s="4" t="s">
        <v>252</v>
      </c>
      <c r="O29" s="4" t="s">
        <v>91</v>
      </c>
      <c r="P29" s="4" t="s">
        <v>333</v>
      </c>
      <c r="Q29" s="4" t="s">
        <v>334</v>
      </c>
      <c r="R29" s="4"/>
    </row>
    <row r="30" spans="1:18">
      <c r="A30" s="4" t="s">
        <v>335</v>
      </c>
      <c r="B30" s="4" t="s">
        <v>48</v>
      </c>
      <c r="C30" s="4" t="s">
        <v>27</v>
      </c>
      <c r="D30" s="4" t="s">
        <v>336</v>
      </c>
      <c r="E30" s="4" t="s">
        <v>337</v>
      </c>
      <c r="F30" s="4" t="s">
        <v>289</v>
      </c>
      <c r="G30" s="4" t="s">
        <v>83</v>
      </c>
      <c r="H30" s="4" t="s">
        <v>181</v>
      </c>
      <c r="I30" s="4" t="s">
        <v>338</v>
      </c>
      <c r="J30" s="4" t="s">
        <v>339</v>
      </c>
      <c r="K30" s="4" t="s">
        <v>216</v>
      </c>
      <c r="L30" s="4" t="s">
        <v>340</v>
      </c>
      <c r="M30" s="4" t="s">
        <v>186</v>
      </c>
      <c r="N30" s="4" t="s">
        <v>166</v>
      </c>
      <c r="O30" s="4" t="s">
        <v>91</v>
      </c>
      <c r="P30" s="4" t="s">
        <v>341</v>
      </c>
      <c r="Q30" s="4" t="s">
        <v>342</v>
      </c>
      <c r="R30" s="4"/>
    </row>
    <row r="31" spans="1:18">
      <c r="A31" s="4" t="s">
        <v>343</v>
      </c>
      <c r="B31" s="4" t="s">
        <v>48</v>
      </c>
      <c r="C31" s="4" t="s">
        <v>27</v>
      </c>
      <c r="D31" s="4" t="s">
        <v>344</v>
      </c>
      <c r="E31" s="4" t="s">
        <v>345</v>
      </c>
      <c r="F31" s="4" t="s">
        <v>289</v>
      </c>
      <c r="G31" s="4" t="s">
        <v>83</v>
      </c>
      <c r="H31" s="4" t="s">
        <v>181</v>
      </c>
      <c r="I31" s="4" t="s">
        <v>346</v>
      </c>
      <c r="J31" s="4" t="s">
        <v>347</v>
      </c>
      <c r="K31" s="4" t="s">
        <v>216</v>
      </c>
      <c r="L31" s="4" t="s">
        <v>348</v>
      </c>
      <c r="M31" s="4" t="s">
        <v>186</v>
      </c>
      <c r="N31" s="4" t="s">
        <v>166</v>
      </c>
      <c r="O31" s="4" t="s">
        <v>91</v>
      </c>
      <c r="P31" s="4" t="s">
        <v>349</v>
      </c>
      <c r="Q31" s="4" t="s">
        <v>350</v>
      </c>
      <c r="R31" s="4"/>
    </row>
    <row r="32" spans="1:18">
      <c r="A32" s="4" t="s">
        <v>351</v>
      </c>
      <c r="B32" s="4" t="s">
        <v>48</v>
      </c>
      <c r="C32" s="4" t="s">
        <v>27</v>
      </c>
      <c r="D32" s="4" t="s">
        <v>352</v>
      </c>
      <c r="E32" s="4" t="s">
        <v>353</v>
      </c>
      <c r="F32" s="4" t="s">
        <v>289</v>
      </c>
      <c r="G32" s="4" t="s">
        <v>83</v>
      </c>
      <c r="H32" s="4" t="s">
        <v>181</v>
      </c>
      <c r="I32" s="4" t="s">
        <v>354</v>
      </c>
      <c r="J32" s="4" t="s">
        <v>355</v>
      </c>
      <c r="K32" s="4" t="s">
        <v>216</v>
      </c>
      <c r="L32" s="4" t="s">
        <v>356</v>
      </c>
      <c r="M32" s="4" t="s">
        <v>186</v>
      </c>
      <c r="N32" s="4" t="s">
        <v>166</v>
      </c>
      <c r="O32" s="4" t="s">
        <v>91</v>
      </c>
      <c r="P32" s="4" t="s">
        <v>357</v>
      </c>
      <c r="Q32" s="4" t="s">
        <v>358</v>
      </c>
      <c r="R32" s="4"/>
    </row>
    <row r="33" spans="1:18" ht="28">
      <c r="A33" s="4" t="s">
        <v>359</v>
      </c>
      <c r="B33" s="4" t="s">
        <v>48</v>
      </c>
      <c r="C33" s="4" t="s">
        <v>27</v>
      </c>
      <c r="D33" s="4" t="s">
        <v>360</v>
      </c>
      <c r="E33" s="4" t="s">
        <v>361</v>
      </c>
      <c r="F33" s="4" t="s">
        <v>289</v>
      </c>
      <c r="G33" s="4" t="s">
        <v>98</v>
      </c>
      <c r="H33" s="4" t="s">
        <v>181</v>
      </c>
      <c r="I33" s="4" t="s">
        <v>362</v>
      </c>
      <c r="J33" s="4" t="s">
        <v>363</v>
      </c>
      <c r="K33" s="4" t="s">
        <v>216</v>
      </c>
      <c r="L33" s="4" t="s">
        <v>364</v>
      </c>
      <c r="M33" s="4" t="s">
        <v>186</v>
      </c>
      <c r="N33" s="4" t="s">
        <v>166</v>
      </c>
      <c r="O33" s="4" t="s">
        <v>91</v>
      </c>
      <c r="P33" s="4" t="s">
        <v>365</v>
      </c>
      <c r="Q33" s="4" t="s">
        <v>366</v>
      </c>
      <c r="R33" s="4"/>
    </row>
    <row r="34" spans="1:18">
      <c r="A34" s="4" t="s">
        <v>367</v>
      </c>
      <c r="B34" s="4" t="s">
        <v>48</v>
      </c>
      <c r="C34" s="4" t="s">
        <v>27</v>
      </c>
      <c r="D34" s="4" t="s">
        <v>368</v>
      </c>
      <c r="E34" s="4" t="s">
        <v>369</v>
      </c>
      <c r="F34" s="4" t="s">
        <v>289</v>
      </c>
      <c r="G34" s="4" t="s">
        <v>98</v>
      </c>
      <c r="H34" s="4" t="s">
        <v>181</v>
      </c>
      <c r="I34" s="4" t="s">
        <v>323</v>
      </c>
      <c r="J34" s="4" t="s">
        <v>370</v>
      </c>
      <c r="K34" s="4" t="s">
        <v>216</v>
      </c>
      <c r="L34" s="4" t="s">
        <v>371</v>
      </c>
      <c r="M34" s="4" t="s">
        <v>186</v>
      </c>
      <c r="N34" s="4" t="s">
        <v>166</v>
      </c>
      <c r="O34" s="4" t="s">
        <v>91</v>
      </c>
      <c r="P34" s="4" t="s">
        <v>372</v>
      </c>
      <c r="Q34" s="4" t="s">
        <v>373</v>
      </c>
      <c r="R34" s="4"/>
    </row>
    <row r="35" spans="1:18">
      <c r="A35" s="4" t="s">
        <v>374</v>
      </c>
      <c r="B35" s="4" t="s">
        <v>48</v>
      </c>
      <c r="C35" s="4" t="s">
        <v>27</v>
      </c>
      <c r="D35" s="4" t="s">
        <v>375</v>
      </c>
      <c r="E35" s="4" t="s">
        <v>376</v>
      </c>
      <c r="F35" s="4" t="s">
        <v>289</v>
      </c>
      <c r="G35" s="4" t="s">
        <v>377</v>
      </c>
      <c r="H35" s="4" t="s">
        <v>181</v>
      </c>
      <c r="I35" s="4" t="s">
        <v>378</v>
      </c>
      <c r="J35" s="4" t="s">
        <v>379</v>
      </c>
      <c r="K35" s="4" t="s">
        <v>380</v>
      </c>
      <c r="L35" s="4" t="s">
        <v>381</v>
      </c>
      <c r="M35" s="4" t="s">
        <v>186</v>
      </c>
      <c r="N35" s="4" t="s">
        <v>166</v>
      </c>
      <c r="O35" s="4" t="s">
        <v>91</v>
      </c>
      <c r="P35" s="4" t="s">
        <v>382</v>
      </c>
      <c r="Q35" s="4" t="s">
        <v>383</v>
      </c>
      <c r="R35" s="4"/>
    </row>
    <row r="36" spans="1:18">
      <c r="A36" s="4" t="s">
        <v>384</v>
      </c>
      <c r="B36" s="4" t="s">
        <v>48</v>
      </c>
      <c r="C36" s="4" t="s">
        <v>27</v>
      </c>
      <c r="D36" s="4" t="s">
        <v>385</v>
      </c>
      <c r="E36" s="4" t="s">
        <v>386</v>
      </c>
      <c r="F36" s="4" t="s">
        <v>289</v>
      </c>
      <c r="G36" s="4" t="s">
        <v>204</v>
      </c>
      <c r="H36" s="4" t="s">
        <v>181</v>
      </c>
      <c r="I36" s="4" t="s">
        <v>387</v>
      </c>
      <c r="J36" s="4" t="s">
        <v>388</v>
      </c>
      <c r="K36" s="4" t="s">
        <v>389</v>
      </c>
      <c r="L36" s="4" t="s">
        <v>127</v>
      </c>
      <c r="M36" s="4" t="s">
        <v>273</v>
      </c>
      <c r="N36" s="4" t="s">
        <v>390</v>
      </c>
      <c r="O36" s="4" t="s">
        <v>91</v>
      </c>
      <c r="P36" s="4" t="s">
        <v>391</v>
      </c>
      <c r="Q36" s="4" t="s">
        <v>392</v>
      </c>
      <c r="R36" s="4"/>
    </row>
    <row r="37" spans="1:18">
      <c r="A37" s="4" t="s">
        <v>393</v>
      </c>
      <c r="B37" s="4" t="s">
        <v>48</v>
      </c>
      <c r="C37" s="4" t="s">
        <v>27</v>
      </c>
      <c r="D37" s="4" t="s">
        <v>394</v>
      </c>
      <c r="E37" s="4" t="s">
        <v>395</v>
      </c>
      <c r="F37" s="4" t="s">
        <v>289</v>
      </c>
      <c r="G37" s="4" t="s">
        <v>83</v>
      </c>
      <c r="H37" s="4" t="s">
        <v>181</v>
      </c>
      <c r="I37" s="4" t="s">
        <v>396</v>
      </c>
      <c r="J37" s="4" t="s">
        <v>397</v>
      </c>
      <c r="K37" s="4" t="s">
        <v>398</v>
      </c>
      <c r="L37" s="4" t="s">
        <v>399</v>
      </c>
      <c r="M37" s="4" t="s">
        <v>273</v>
      </c>
      <c r="N37" s="4" t="s">
        <v>252</v>
      </c>
      <c r="O37" s="4" t="s">
        <v>91</v>
      </c>
      <c r="P37" s="4" t="s">
        <v>400</v>
      </c>
      <c r="Q37" s="4" t="s">
        <v>401</v>
      </c>
      <c r="R37" s="4"/>
    </row>
    <row r="38" spans="1:18" ht="28">
      <c r="A38" s="4" t="s">
        <v>402</v>
      </c>
      <c r="B38" s="4" t="s">
        <v>42</v>
      </c>
      <c r="C38" s="4" t="s">
        <v>33</v>
      </c>
      <c r="D38" s="4" t="s">
        <v>403</v>
      </c>
      <c r="E38" s="4" t="s">
        <v>404</v>
      </c>
      <c r="F38" s="4" t="s">
        <v>122</v>
      </c>
      <c r="G38" s="4" t="s">
        <v>83</v>
      </c>
      <c r="H38" s="4" t="s">
        <v>181</v>
      </c>
      <c r="I38" s="4" t="s">
        <v>269</v>
      </c>
      <c r="J38" s="4" t="s">
        <v>405</v>
      </c>
      <c r="K38" s="4" t="s">
        <v>137</v>
      </c>
      <c r="L38" s="4" t="s">
        <v>127</v>
      </c>
      <c r="M38" s="4" t="s">
        <v>273</v>
      </c>
      <c r="N38" s="4" t="s">
        <v>406</v>
      </c>
      <c r="O38" s="4" t="s">
        <v>91</v>
      </c>
      <c r="P38" s="4" t="s">
        <v>407</v>
      </c>
      <c r="Q38" s="4" t="s">
        <v>408</v>
      </c>
      <c r="R38" s="4" t="s">
        <v>409</v>
      </c>
    </row>
    <row r="39" spans="1:18" ht="28">
      <c r="A39" s="4" t="s">
        <v>410</v>
      </c>
      <c r="B39" s="4" t="s">
        <v>42</v>
      </c>
      <c r="C39" s="4" t="s">
        <v>33</v>
      </c>
      <c r="D39" s="4" t="s">
        <v>411</v>
      </c>
      <c r="E39" s="4" t="s">
        <v>412</v>
      </c>
      <c r="F39" s="4" t="s">
        <v>122</v>
      </c>
      <c r="G39" s="4" t="s">
        <v>83</v>
      </c>
      <c r="H39" s="4" t="s">
        <v>181</v>
      </c>
      <c r="I39" s="4" t="s">
        <v>413</v>
      </c>
      <c r="J39" s="4" t="s">
        <v>414</v>
      </c>
      <c r="K39" s="4" t="s">
        <v>415</v>
      </c>
      <c r="L39" s="4" t="s">
        <v>127</v>
      </c>
      <c r="M39" s="4" t="s">
        <v>273</v>
      </c>
      <c r="N39" s="4" t="s">
        <v>252</v>
      </c>
      <c r="O39" s="4" t="s">
        <v>91</v>
      </c>
      <c r="P39" s="4" t="s">
        <v>416</v>
      </c>
      <c r="Q39" s="4" t="s">
        <v>417</v>
      </c>
      <c r="R39" s="4"/>
    </row>
    <row r="40" spans="1:18" ht="28">
      <c r="A40" s="4" t="s">
        <v>418</v>
      </c>
      <c r="B40" s="4" t="s">
        <v>42</v>
      </c>
      <c r="C40" s="4" t="s">
        <v>27</v>
      </c>
      <c r="D40" s="4" t="s">
        <v>419</v>
      </c>
      <c r="E40" s="4" t="s">
        <v>420</v>
      </c>
      <c r="F40" s="4" t="s">
        <v>122</v>
      </c>
      <c r="G40" s="4" t="s">
        <v>83</v>
      </c>
      <c r="H40" s="4" t="s">
        <v>181</v>
      </c>
      <c r="I40" s="4" t="s">
        <v>421</v>
      </c>
      <c r="J40" s="4" t="s">
        <v>422</v>
      </c>
      <c r="K40" s="4" t="s">
        <v>216</v>
      </c>
      <c r="L40" s="4" t="s">
        <v>300</v>
      </c>
      <c r="M40" s="4" t="s">
        <v>186</v>
      </c>
      <c r="N40" s="4" t="s">
        <v>252</v>
      </c>
      <c r="O40" s="4" t="s">
        <v>91</v>
      </c>
      <c r="P40" s="4" t="s">
        <v>423</v>
      </c>
      <c r="Q40" s="4" t="s">
        <v>424</v>
      </c>
      <c r="R40" s="4" t="s">
        <v>425</v>
      </c>
    </row>
    <row r="41" spans="1:18" ht="28">
      <c r="A41" s="4" t="s">
        <v>426</v>
      </c>
      <c r="B41" s="4" t="s">
        <v>42</v>
      </c>
      <c r="C41" s="4" t="s">
        <v>27</v>
      </c>
      <c r="D41" s="4" t="s">
        <v>427</v>
      </c>
      <c r="E41" s="4" t="s">
        <v>428</v>
      </c>
      <c r="F41" s="4" t="s">
        <v>248</v>
      </c>
      <c r="G41" s="4" t="s">
        <v>98</v>
      </c>
      <c r="H41" s="4" t="s">
        <v>279</v>
      </c>
      <c r="I41" s="4" t="s">
        <v>429</v>
      </c>
      <c r="J41" s="4" t="s">
        <v>430</v>
      </c>
      <c r="K41" s="4" t="s">
        <v>216</v>
      </c>
      <c r="L41" s="4" t="s">
        <v>431</v>
      </c>
      <c r="M41" s="4" t="s">
        <v>186</v>
      </c>
      <c r="N41" s="4" t="s">
        <v>166</v>
      </c>
      <c r="O41" s="4" t="s">
        <v>91</v>
      </c>
      <c r="P41" s="4" t="s">
        <v>432</v>
      </c>
      <c r="Q41" s="4" t="s">
        <v>433</v>
      </c>
      <c r="R41" s="4"/>
    </row>
    <row r="42" spans="1:18">
      <c r="A42" s="4" t="s">
        <v>434</v>
      </c>
      <c r="B42" s="4" t="s">
        <v>54</v>
      </c>
      <c r="C42" s="4" t="s">
        <v>25</v>
      </c>
      <c r="D42" s="4" t="s">
        <v>435</v>
      </c>
      <c r="E42" s="4" t="s">
        <v>436</v>
      </c>
      <c r="F42" s="4" t="s">
        <v>122</v>
      </c>
      <c r="G42" s="4" t="s">
        <v>83</v>
      </c>
      <c r="H42" s="4" t="s">
        <v>84</v>
      </c>
      <c r="I42" s="4" t="s">
        <v>85</v>
      </c>
      <c r="J42" s="4" t="s">
        <v>437</v>
      </c>
      <c r="K42" s="4" t="s">
        <v>87</v>
      </c>
      <c r="L42" s="4" t="s">
        <v>438</v>
      </c>
      <c r="M42" s="4" t="s">
        <v>114</v>
      </c>
      <c r="N42" s="4" t="s">
        <v>90</v>
      </c>
      <c r="O42" s="4" t="s">
        <v>91</v>
      </c>
      <c r="P42" s="4" t="s">
        <v>439</v>
      </c>
      <c r="Q42" s="4" t="s">
        <v>440</v>
      </c>
      <c r="R42" s="4"/>
    </row>
    <row r="43" spans="1:18" ht="28">
      <c r="A43" s="4" t="s">
        <v>441</v>
      </c>
      <c r="B43" s="4" t="s">
        <v>54</v>
      </c>
      <c r="C43" s="4" t="s">
        <v>25</v>
      </c>
      <c r="D43" s="4" t="s">
        <v>442</v>
      </c>
      <c r="E43" s="4" t="s">
        <v>443</v>
      </c>
      <c r="F43" s="4" t="s">
        <v>122</v>
      </c>
      <c r="G43" s="4" t="s">
        <v>83</v>
      </c>
      <c r="H43" s="4" t="s">
        <v>84</v>
      </c>
      <c r="I43" s="4" t="s">
        <v>85</v>
      </c>
      <c r="J43" s="4" t="s">
        <v>444</v>
      </c>
      <c r="K43" s="4" t="s">
        <v>87</v>
      </c>
      <c r="L43" s="4" t="s">
        <v>445</v>
      </c>
      <c r="M43" s="4" t="s">
        <v>114</v>
      </c>
      <c r="N43" s="4" t="s">
        <v>90</v>
      </c>
      <c r="O43" s="4" t="s">
        <v>91</v>
      </c>
      <c r="P43" s="4" t="s">
        <v>446</v>
      </c>
      <c r="Q43" s="4" t="s">
        <v>447</v>
      </c>
      <c r="R43" s="4"/>
    </row>
    <row r="44" spans="1:18" ht="28">
      <c r="A44" s="4" t="s">
        <v>448</v>
      </c>
      <c r="B44" s="4" t="s">
        <v>54</v>
      </c>
      <c r="C44" s="4" t="s">
        <v>25</v>
      </c>
      <c r="D44" s="4" t="s">
        <v>449</v>
      </c>
      <c r="E44" s="4" t="s">
        <v>450</v>
      </c>
      <c r="F44" s="4" t="s">
        <v>180</v>
      </c>
      <c r="G44" s="4" t="s">
        <v>83</v>
      </c>
      <c r="H44" s="4" t="s">
        <v>193</v>
      </c>
      <c r="I44" s="4" t="s">
        <v>451</v>
      </c>
      <c r="J44" s="4" t="s">
        <v>452</v>
      </c>
      <c r="K44" s="4" t="s">
        <v>216</v>
      </c>
      <c r="L44" s="4" t="s">
        <v>453</v>
      </c>
      <c r="M44" s="4" t="s">
        <v>114</v>
      </c>
      <c r="N44" s="4" t="s">
        <v>166</v>
      </c>
      <c r="O44" s="4" t="s">
        <v>91</v>
      </c>
      <c r="P44" s="4" t="s">
        <v>454</v>
      </c>
      <c r="Q44" s="4" t="s">
        <v>455</v>
      </c>
      <c r="R44" s="4"/>
    </row>
    <row r="45" spans="1:18" ht="28">
      <c r="A45" s="4" t="s">
        <v>456</v>
      </c>
      <c r="B45" s="4" t="s">
        <v>54</v>
      </c>
      <c r="C45" s="4" t="s">
        <v>25</v>
      </c>
      <c r="D45" s="4" t="s">
        <v>457</v>
      </c>
      <c r="E45" s="4" t="s">
        <v>458</v>
      </c>
      <c r="F45" s="4" t="s">
        <v>248</v>
      </c>
      <c r="G45" s="4" t="s">
        <v>83</v>
      </c>
      <c r="H45" s="4" t="s">
        <v>193</v>
      </c>
      <c r="I45" s="4" t="s">
        <v>459</v>
      </c>
      <c r="J45" s="4" t="s">
        <v>460</v>
      </c>
      <c r="K45" s="4" t="s">
        <v>216</v>
      </c>
      <c r="L45" s="4" t="s">
        <v>453</v>
      </c>
      <c r="M45" s="4" t="s">
        <v>114</v>
      </c>
      <c r="N45" s="4" t="s">
        <v>166</v>
      </c>
      <c r="O45" s="4" t="s">
        <v>91</v>
      </c>
      <c r="P45" s="4" t="s">
        <v>461</v>
      </c>
      <c r="Q45" s="4" t="s">
        <v>455</v>
      </c>
      <c r="R45" s="4"/>
    </row>
    <row r="46" spans="1:18" ht="28">
      <c r="A46" s="4" t="s">
        <v>462</v>
      </c>
      <c r="B46" s="4" t="s">
        <v>54</v>
      </c>
      <c r="C46" s="4" t="s">
        <v>25</v>
      </c>
      <c r="D46" s="4" t="s">
        <v>463</v>
      </c>
      <c r="E46" s="4" t="s">
        <v>464</v>
      </c>
      <c r="F46" s="4" t="s">
        <v>122</v>
      </c>
      <c r="G46" s="4" t="s">
        <v>83</v>
      </c>
      <c r="H46" s="4" t="s">
        <v>84</v>
      </c>
      <c r="I46" s="4" t="s">
        <v>85</v>
      </c>
      <c r="J46" s="4" t="s">
        <v>465</v>
      </c>
      <c r="K46" s="4" t="s">
        <v>87</v>
      </c>
      <c r="L46" s="4" t="s">
        <v>445</v>
      </c>
      <c r="M46" s="4" t="s">
        <v>114</v>
      </c>
      <c r="N46" s="4" t="s">
        <v>90</v>
      </c>
      <c r="O46" s="4" t="s">
        <v>91</v>
      </c>
      <c r="P46" s="4" t="s">
        <v>466</v>
      </c>
      <c r="Q46" s="4" t="s">
        <v>467</v>
      </c>
      <c r="R46" s="4"/>
    </row>
    <row r="47" spans="1:18">
      <c r="A47" s="4" t="s">
        <v>468</v>
      </c>
      <c r="B47" s="4" t="s">
        <v>54</v>
      </c>
      <c r="C47" s="4" t="s">
        <v>29</v>
      </c>
      <c r="D47" s="4" t="s">
        <v>469</v>
      </c>
      <c r="E47" s="4" t="s">
        <v>470</v>
      </c>
      <c r="F47" s="4" t="s">
        <v>122</v>
      </c>
      <c r="G47" s="4" t="s">
        <v>83</v>
      </c>
      <c r="H47" s="4" t="s">
        <v>279</v>
      </c>
      <c r="I47" s="4" t="s">
        <v>471</v>
      </c>
      <c r="J47" s="4" t="s">
        <v>472</v>
      </c>
      <c r="K47" s="4" t="s">
        <v>157</v>
      </c>
      <c r="L47" s="4" t="s">
        <v>113</v>
      </c>
      <c r="M47" s="4" t="s">
        <v>114</v>
      </c>
      <c r="N47" s="4" t="s">
        <v>252</v>
      </c>
      <c r="O47" s="4" t="s">
        <v>91</v>
      </c>
      <c r="P47" s="4" t="s">
        <v>473</v>
      </c>
      <c r="Q47" s="4" t="s">
        <v>474</v>
      </c>
      <c r="R47" s="4"/>
    </row>
    <row r="48" spans="1:18">
      <c r="A48" s="4" t="s">
        <v>475</v>
      </c>
      <c r="B48" s="4" t="s">
        <v>54</v>
      </c>
      <c r="C48" s="4" t="s">
        <v>30</v>
      </c>
      <c r="D48" s="4" t="s">
        <v>476</v>
      </c>
      <c r="E48" s="4" t="s">
        <v>477</v>
      </c>
      <c r="F48" s="4" t="s">
        <v>97</v>
      </c>
      <c r="G48" s="4" t="s">
        <v>83</v>
      </c>
      <c r="H48" s="4" t="s">
        <v>279</v>
      </c>
      <c r="I48" s="4" t="s">
        <v>478</v>
      </c>
      <c r="J48" s="4" t="s">
        <v>479</v>
      </c>
      <c r="K48" s="4" t="s">
        <v>157</v>
      </c>
      <c r="L48" s="4" t="s">
        <v>480</v>
      </c>
      <c r="M48" s="4" t="s">
        <v>114</v>
      </c>
      <c r="N48" s="4" t="s">
        <v>481</v>
      </c>
      <c r="O48" s="4" t="s">
        <v>91</v>
      </c>
      <c r="P48" s="4" t="s">
        <v>482</v>
      </c>
      <c r="Q48" s="4" t="s">
        <v>483</v>
      </c>
      <c r="R48" s="4"/>
    </row>
    <row r="49" spans="1:18">
      <c r="A49" s="4" t="s">
        <v>484</v>
      </c>
      <c r="B49" s="4" t="s">
        <v>54</v>
      </c>
      <c r="C49" s="4" t="s">
        <v>30</v>
      </c>
      <c r="D49" s="4" t="s">
        <v>485</v>
      </c>
      <c r="E49" s="4" t="s">
        <v>486</v>
      </c>
      <c r="F49" s="4" t="s">
        <v>180</v>
      </c>
      <c r="G49" s="4" t="s">
        <v>83</v>
      </c>
      <c r="H49" s="4" t="s">
        <v>84</v>
      </c>
      <c r="I49" s="4" t="s">
        <v>487</v>
      </c>
      <c r="J49" s="4" t="s">
        <v>488</v>
      </c>
      <c r="K49" s="4" t="s">
        <v>157</v>
      </c>
      <c r="L49" s="4" t="s">
        <v>489</v>
      </c>
      <c r="M49" s="4" t="s">
        <v>114</v>
      </c>
      <c r="N49" s="4" t="s">
        <v>490</v>
      </c>
      <c r="O49" s="4" t="s">
        <v>91</v>
      </c>
      <c r="P49" s="4" t="s">
        <v>491</v>
      </c>
      <c r="Q49" s="4" t="s">
        <v>492</v>
      </c>
      <c r="R49" s="4"/>
    </row>
    <row r="50" spans="1:18">
      <c r="A50" s="4" t="s">
        <v>493</v>
      </c>
      <c r="B50" s="4" t="s">
        <v>494</v>
      </c>
      <c r="C50" s="4" t="s">
        <v>31</v>
      </c>
      <c r="D50" s="4" t="s">
        <v>495</v>
      </c>
      <c r="E50" s="4" t="s">
        <v>496</v>
      </c>
      <c r="F50" s="4" t="s">
        <v>289</v>
      </c>
      <c r="G50" s="4" t="s">
        <v>98</v>
      </c>
      <c r="H50" s="4" t="s">
        <v>181</v>
      </c>
      <c r="I50" s="4" t="s">
        <v>497</v>
      </c>
      <c r="J50" s="4" t="s">
        <v>498</v>
      </c>
      <c r="K50" s="4" t="s">
        <v>499</v>
      </c>
      <c r="L50" s="4" t="s">
        <v>500</v>
      </c>
      <c r="M50" s="4" t="s">
        <v>186</v>
      </c>
      <c r="N50" s="4" t="s">
        <v>166</v>
      </c>
      <c r="O50" s="4" t="s">
        <v>91</v>
      </c>
      <c r="P50" s="4" t="s">
        <v>501</v>
      </c>
      <c r="Q50" s="4" t="s">
        <v>502</v>
      </c>
      <c r="R50" s="4"/>
    </row>
    <row r="51" spans="1:18">
      <c r="A51" s="4" t="s">
        <v>503</v>
      </c>
      <c r="B51" s="4" t="s">
        <v>494</v>
      </c>
      <c r="C51" s="4" t="s">
        <v>31</v>
      </c>
      <c r="D51" s="4" t="s">
        <v>504</v>
      </c>
      <c r="E51" s="4" t="s">
        <v>505</v>
      </c>
      <c r="F51" s="4" t="s">
        <v>289</v>
      </c>
      <c r="G51" s="4" t="s">
        <v>204</v>
      </c>
      <c r="H51" s="4" t="s">
        <v>181</v>
      </c>
      <c r="I51" s="4" t="s">
        <v>506</v>
      </c>
      <c r="J51" s="4" t="s">
        <v>507</v>
      </c>
      <c r="K51" s="4" t="s">
        <v>389</v>
      </c>
      <c r="L51" s="4" t="s">
        <v>127</v>
      </c>
      <c r="M51" s="4" t="s">
        <v>186</v>
      </c>
      <c r="N51" s="4" t="s">
        <v>390</v>
      </c>
      <c r="O51" s="4" t="s">
        <v>91</v>
      </c>
      <c r="P51" s="4" t="s">
        <v>508</v>
      </c>
      <c r="Q51" s="4" t="s">
        <v>509</v>
      </c>
      <c r="R51" s="4"/>
    </row>
    <row r="52" spans="1:18">
      <c r="A52" s="4" t="s">
        <v>510</v>
      </c>
      <c r="B52" s="4" t="s">
        <v>494</v>
      </c>
      <c r="C52" s="4" t="s">
        <v>31</v>
      </c>
      <c r="D52" s="4" t="s">
        <v>511</v>
      </c>
      <c r="E52" s="4" t="s">
        <v>512</v>
      </c>
      <c r="F52" s="4" t="s">
        <v>289</v>
      </c>
      <c r="G52" s="4" t="s">
        <v>228</v>
      </c>
      <c r="H52" s="4" t="s">
        <v>181</v>
      </c>
      <c r="I52" s="4" t="s">
        <v>513</v>
      </c>
      <c r="J52" s="4" t="s">
        <v>514</v>
      </c>
      <c r="K52" s="4" t="s">
        <v>184</v>
      </c>
      <c r="L52" s="4" t="s">
        <v>185</v>
      </c>
      <c r="M52" s="4" t="s">
        <v>186</v>
      </c>
      <c r="N52" s="4" t="s">
        <v>166</v>
      </c>
      <c r="O52" s="4" t="s">
        <v>91</v>
      </c>
      <c r="P52" s="4" t="s">
        <v>515</v>
      </c>
      <c r="Q52" s="4" t="s">
        <v>516</v>
      </c>
      <c r="R52" s="4"/>
    </row>
    <row r="53" spans="1:18">
      <c r="A53" s="4" t="s">
        <v>517</v>
      </c>
      <c r="B53" s="4" t="s">
        <v>494</v>
      </c>
      <c r="C53" s="4" t="s">
        <v>31</v>
      </c>
      <c r="D53" s="4" t="s">
        <v>518</v>
      </c>
      <c r="E53" s="4" t="s">
        <v>519</v>
      </c>
      <c r="F53" s="4" t="s">
        <v>289</v>
      </c>
      <c r="G53" s="4" t="s">
        <v>204</v>
      </c>
      <c r="H53" s="4" t="s">
        <v>181</v>
      </c>
      <c r="I53" s="4" t="s">
        <v>520</v>
      </c>
      <c r="J53" s="4" t="s">
        <v>521</v>
      </c>
      <c r="K53" s="4" t="s">
        <v>389</v>
      </c>
      <c r="L53" s="4" t="s">
        <v>127</v>
      </c>
      <c r="M53" s="4" t="s">
        <v>186</v>
      </c>
      <c r="N53" s="4" t="s">
        <v>390</v>
      </c>
      <c r="O53" s="4" t="s">
        <v>91</v>
      </c>
      <c r="P53" s="4" t="s">
        <v>522</v>
      </c>
      <c r="Q53" s="4" t="s">
        <v>523</v>
      </c>
      <c r="R53" s="4"/>
    </row>
    <row r="54" spans="1:18" ht="28">
      <c r="A54" s="4" t="s">
        <v>524</v>
      </c>
      <c r="B54" s="4" t="s">
        <v>494</v>
      </c>
      <c r="C54" s="4" t="s">
        <v>31</v>
      </c>
      <c r="D54" s="4" t="s">
        <v>525</v>
      </c>
      <c r="E54" s="4" t="s">
        <v>526</v>
      </c>
      <c r="F54" s="4" t="s">
        <v>289</v>
      </c>
      <c r="G54" s="4" t="s">
        <v>83</v>
      </c>
      <c r="H54" s="4" t="s">
        <v>181</v>
      </c>
      <c r="I54" s="4" t="s">
        <v>527</v>
      </c>
      <c r="J54" s="4" t="s">
        <v>528</v>
      </c>
      <c r="K54" s="4" t="s">
        <v>252</v>
      </c>
      <c r="L54" s="4" t="s">
        <v>529</v>
      </c>
      <c r="M54" s="4" t="s">
        <v>273</v>
      </c>
      <c r="N54" s="4" t="s">
        <v>252</v>
      </c>
      <c r="O54" s="4" t="s">
        <v>91</v>
      </c>
      <c r="P54" s="4" t="s">
        <v>530</v>
      </c>
      <c r="Q54" s="4" t="s">
        <v>531</v>
      </c>
      <c r="R54" s="4"/>
    </row>
    <row r="55" spans="1:18">
      <c r="A55" s="4" t="s">
        <v>532</v>
      </c>
      <c r="B55" s="4" t="s">
        <v>494</v>
      </c>
      <c r="C55" s="4" t="s">
        <v>31</v>
      </c>
      <c r="D55" s="4" t="s">
        <v>533</v>
      </c>
      <c r="E55" s="4" t="s">
        <v>534</v>
      </c>
      <c r="F55" s="4" t="s">
        <v>289</v>
      </c>
      <c r="G55" s="4" t="s">
        <v>98</v>
      </c>
      <c r="H55" s="4" t="s">
        <v>181</v>
      </c>
      <c r="I55" s="4" t="s">
        <v>535</v>
      </c>
      <c r="J55" s="4" t="s">
        <v>536</v>
      </c>
      <c r="K55" s="4" t="s">
        <v>216</v>
      </c>
      <c r="L55" s="4" t="s">
        <v>529</v>
      </c>
      <c r="M55" s="4" t="s">
        <v>186</v>
      </c>
      <c r="N55" s="4" t="s">
        <v>317</v>
      </c>
      <c r="O55" s="4" t="s">
        <v>91</v>
      </c>
      <c r="P55" s="4" t="s">
        <v>537</v>
      </c>
      <c r="Q55" s="4" t="s">
        <v>538</v>
      </c>
      <c r="R55" s="4"/>
    </row>
    <row r="56" spans="1:18">
      <c r="A56" s="4" t="s">
        <v>539</v>
      </c>
      <c r="B56" s="4" t="s">
        <v>494</v>
      </c>
      <c r="C56" s="4" t="s">
        <v>31</v>
      </c>
      <c r="D56" s="4" t="s">
        <v>540</v>
      </c>
      <c r="E56" s="4" t="s">
        <v>541</v>
      </c>
      <c r="F56" s="4" t="s">
        <v>289</v>
      </c>
      <c r="G56" s="4" t="s">
        <v>83</v>
      </c>
      <c r="H56" s="4" t="s">
        <v>181</v>
      </c>
      <c r="I56" s="4" t="s">
        <v>542</v>
      </c>
      <c r="J56" s="4" t="s">
        <v>543</v>
      </c>
      <c r="K56" s="4" t="s">
        <v>216</v>
      </c>
      <c r="L56" s="4" t="s">
        <v>544</v>
      </c>
      <c r="M56" s="4" t="s">
        <v>186</v>
      </c>
      <c r="N56" s="4" t="s">
        <v>166</v>
      </c>
      <c r="O56" s="4" t="s">
        <v>91</v>
      </c>
      <c r="P56" s="4" t="s">
        <v>545</v>
      </c>
      <c r="Q56" s="4" t="s">
        <v>546</v>
      </c>
      <c r="R56" s="4"/>
    </row>
    <row r="57" spans="1:18" ht="28">
      <c r="A57" s="4" t="s">
        <v>547</v>
      </c>
      <c r="B57" s="4" t="s">
        <v>494</v>
      </c>
      <c r="C57" s="4" t="s">
        <v>31</v>
      </c>
      <c r="D57" s="4" t="s">
        <v>548</v>
      </c>
      <c r="E57" s="4" t="s">
        <v>549</v>
      </c>
      <c r="F57" s="4" t="s">
        <v>289</v>
      </c>
      <c r="G57" s="4" t="s">
        <v>550</v>
      </c>
      <c r="H57" s="4" t="s">
        <v>181</v>
      </c>
      <c r="I57" s="4" t="s">
        <v>551</v>
      </c>
      <c r="J57" s="4" t="s">
        <v>552</v>
      </c>
      <c r="K57" s="4" t="s">
        <v>553</v>
      </c>
      <c r="L57" s="4" t="s">
        <v>127</v>
      </c>
      <c r="M57" s="4" t="s">
        <v>273</v>
      </c>
      <c r="N57" s="4" t="s">
        <v>554</v>
      </c>
      <c r="O57" s="4" t="s">
        <v>91</v>
      </c>
      <c r="P57" s="4" t="s">
        <v>555</v>
      </c>
      <c r="Q57" s="4" t="s">
        <v>556</v>
      </c>
      <c r="R57" s="4"/>
    </row>
    <row r="58" spans="1:18">
      <c r="A58" s="4" t="s">
        <v>557</v>
      </c>
      <c r="B58" s="4" t="s">
        <v>494</v>
      </c>
      <c r="C58" s="4" t="s">
        <v>31</v>
      </c>
      <c r="D58" s="4" t="s">
        <v>558</v>
      </c>
      <c r="E58" s="4" t="s">
        <v>559</v>
      </c>
      <c r="F58" s="4" t="s">
        <v>289</v>
      </c>
      <c r="G58" s="4" t="s">
        <v>560</v>
      </c>
      <c r="H58" s="4" t="s">
        <v>279</v>
      </c>
      <c r="I58" s="4" t="s">
        <v>561</v>
      </c>
      <c r="J58" s="4" t="s">
        <v>562</v>
      </c>
      <c r="K58" s="4" t="s">
        <v>216</v>
      </c>
      <c r="L58" s="4" t="s">
        <v>563</v>
      </c>
      <c r="M58" s="4" t="s">
        <v>114</v>
      </c>
      <c r="N58" s="4" t="s">
        <v>166</v>
      </c>
      <c r="O58" s="4" t="s">
        <v>91</v>
      </c>
      <c r="P58" s="4" t="s">
        <v>564</v>
      </c>
      <c r="Q58" s="4" t="s">
        <v>565</v>
      </c>
      <c r="R58" s="4"/>
    </row>
    <row r="59" spans="1:18" ht="28">
      <c r="A59" s="4" t="s">
        <v>566</v>
      </c>
      <c r="B59" s="4" t="s">
        <v>494</v>
      </c>
      <c r="C59" s="4" t="s">
        <v>26</v>
      </c>
      <c r="D59" s="4" t="s">
        <v>567</v>
      </c>
      <c r="E59" s="4" t="s">
        <v>568</v>
      </c>
      <c r="F59" s="4" t="s">
        <v>289</v>
      </c>
      <c r="G59" s="4" t="s">
        <v>83</v>
      </c>
      <c r="H59" s="4" t="s">
        <v>181</v>
      </c>
      <c r="I59" s="4" t="s">
        <v>527</v>
      </c>
      <c r="J59" s="4" t="s">
        <v>569</v>
      </c>
      <c r="K59" s="4" t="s">
        <v>252</v>
      </c>
      <c r="L59" s="4" t="s">
        <v>570</v>
      </c>
      <c r="M59" s="4" t="s">
        <v>186</v>
      </c>
      <c r="N59" s="4" t="s">
        <v>252</v>
      </c>
      <c r="O59" s="4" t="s">
        <v>91</v>
      </c>
      <c r="P59" s="4" t="s">
        <v>571</v>
      </c>
      <c r="Q59" s="4" t="s">
        <v>572</v>
      </c>
      <c r="R59" s="4"/>
    </row>
    <row r="60" spans="1:18" ht="28">
      <c r="A60" s="4" t="s">
        <v>573</v>
      </c>
      <c r="B60" s="4" t="s">
        <v>494</v>
      </c>
      <c r="C60" s="4" t="s">
        <v>26</v>
      </c>
      <c r="D60" s="4" t="s">
        <v>574</v>
      </c>
      <c r="E60" s="4" t="s">
        <v>575</v>
      </c>
      <c r="F60" s="4" t="s">
        <v>289</v>
      </c>
      <c r="G60" s="4" t="s">
        <v>98</v>
      </c>
      <c r="H60" s="4" t="s">
        <v>181</v>
      </c>
      <c r="I60" s="4" t="s">
        <v>576</v>
      </c>
      <c r="J60" s="4" t="s">
        <v>577</v>
      </c>
      <c r="K60" s="4" t="s">
        <v>216</v>
      </c>
      <c r="L60" s="4" t="s">
        <v>578</v>
      </c>
      <c r="M60" s="4" t="s">
        <v>186</v>
      </c>
      <c r="N60" s="4" t="s">
        <v>317</v>
      </c>
      <c r="O60" s="4" t="s">
        <v>91</v>
      </c>
      <c r="P60" s="4" t="s">
        <v>579</v>
      </c>
      <c r="Q60" s="4" t="s">
        <v>580</v>
      </c>
      <c r="R60" s="4"/>
    </row>
    <row r="61" spans="1:18" ht="28">
      <c r="A61" s="4" t="s">
        <v>581</v>
      </c>
      <c r="B61" s="4" t="s">
        <v>494</v>
      </c>
      <c r="C61" s="4" t="s">
        <v>26</v>
      </c>
      <c r="D61" s="4" t="s">
        <v>582</v>
      </c>
      <c r="E61" s="4" t="s">
        <v>583</v>
      </c>
      <c r="F61" s="4" t="s">
        <v>289</v>
      </c>
      <c r="G61" s="4" t="s">
        <v>98</v>
      </c>
      <c r="H61" s="4" t="s">
        <v>181</v>
      </c>
      <c r="I61" s="4" t="s">
        <v>584</v>
      </c>
      <c r="J61" s="4" t="s">
        <v>585</v>
      </c>
      <c r="K61" s="4" t="s">
        <v>499</v>
      </c>
      <c r="L61" s="4" t="s">
        <v>586</v>
      </c>
      <c r="M61" s="4" t="s">
        <v>186</v>
      </c>
      <c r="N61" s="4" t="s">
        <v>166</v>
      </c>
      <c r="O61" s="4" t="s">
        <v>91</v>
      </c>
      <c r="P61" s="4" t="s">
        <v>587</v>
      </c>
      <c r="Q61" s="4" t="s">
        <v>588</v>
      </c>
      <c r="R61" s="4"/>
    </row>
    <row r="62" spans="1:18" ht="28">
      <c r="A62" s="4" t="s">
        <v>589</v>
      </c>
      <c r="B62" s="4" t="s">
        <v>494</v>
      </c>
      <c r="C62" s="4" t="s">
        <v>26</v>
      </c>
      <c r="D62" s="4" t="s">
        <v>590</v>
      </c>
      <c r="E62" s="4" t="s">
        <v>591</v>
      </c>
      <c r="F62" s="4" t="s">
        <v>289</v>
      </c>
      <c r="G62" s="4" t="s">
        <v>592</v>
      </c>
      <c r="H62" s="4" t="s">
        <v>181</v>
      </c>
      <c r="I62" s="4" t="s">
        <v>593</v>
      </c>
      <c r="J62" s="4" t="s">
        <v>594</v>
      </c>
      <c r="K62" s="4" t="s">
        <v>389</v>
      </c>
      <c r="L62" s="4" t="s">
        <v>127</v>
      </c>
      <c r="M62" s="4" t="s">
        <v>186</v>
      </c>
      <c r="N62" s="4" t="s">
        <v>390</v>
      </c>
      <c r="O62" s="4" t="s">
        <v>91</v>
      </c>
      <c r="P62" s="4" t="s">
        <v>595</v>
      </c>
      <c r="Q62" s="4" t="s">
        <v>596</v>
      </c>
      <c r="R62" s="4"/>
    </row>
    <row r="63" spans="1:18" ht="28">
      <c r="A63" s="4" t="s">
        <v>597</v>
      </c>
      <c r="B63" s="4" t="s">
        <v>494</v>
      </c>
      <c r="C63" s="4" t="s">
        <v>26</v>
      </c>
      <c r="D63" s="4" t="s">
        <v>598</v>
      </c>
      <c r="E63" s="4" t="s">
        <v>599</v>
      </c>
      <c r="F63" s="4" t="s">
        <v>289</v>
      </c>
      <c r="G63" s="4" t="s">
        <v>600</v>
      </c>
      <c r="H63" s="4" t="s">
        <v>181</v>
      </c>
      <c r="I63" s="4" t="s">
        <v>601</v>
      </c>
      <c r="J63" s="4" t="s">
        <v>602</v>
      </c>
      <c r="K63" s="4" t="s">
        <v>499</v>
      </c>
      <c r="L63" s="4" t="s">
        <v>586</v>
      </c>
      <c r="M63" s="4" t="s">
        <v>186</v>
      </c>
      <c r="N63" s="4" t="s">
        <v>166</v>
      </c>
      <c r="O63" s="4" t="s">
        <v>91</v>
      </c>
      <c r="P63" s="4" t="s">
        <v>603</v>
      </c>
      <c r="Q63" s="4" t="s">
        <v>604</v>
      </c>
      <c r="R63" s="4"/>
    </row>
    <row r="64" spans="1:18" ht="28">
      <c r="A64" s="4" t="s">
        <v>605</v>
      </c>
      <c r="B64" s="4" t="s">
        <v>494</v>
      </c>
      <c r="C64" s="4" t="s">
        <v>26</v>
      </c>
      <c r="D64" s="4" t="s">
        <v>606</v>
      </c>
      <c r="E64" s="4" t="s">
        <v>607</v>
      </c>
      <c r="F64" s="4" t="s">
        <v>289</v>
      </c>
      <c r="G64" s="4" t="s">
        <v>83</v>
      </c>
      <c r="H64" s="4" t="s">
        <v>181</v>
      </c>
      <c r="I64" s="4" t="s">
        <v>608</v>
      </c>
      <c r="J64" s="4" t="s">
        <v>609</v>
      </c>
      <c r="K64" s="4" t="s">
        <v>610</v>
      </c>
      <c r="L64" s="4" t="s">
        <v>611</v>
      </c>
      <c r="M64" s="4" t="s">
        <v>273</v>
      </c>
      <c r="N64" s="4" t="s">
        <v>252</v>
      </c>
      <c r="O64" s="4" t="s">
        <v>91</v>
      </c>
      <c r="P64" s="4" t="s">
        <v>612</v>
      </c>
      <c r="Q64" s="4" t="s">
        <v>613</v>
      </c>
      <c r="R64" s="4"/>
    </row>
    <row r="65" spans="1:18" ht="28">
      <c r="A65" s="4" t="s">
        <v>614</v>
      </c>
      <c r="B65" s="4" t="s">
        <v>494</v>
      </c>
      <c r="C65" s="4" t="s">
        <v>26</v>
      </c>
      <c r="D65" s="4" t="s">
        <v>615</v>
      </c>
      <c r="E65" s="4" t="s">
        <v>616</v>
      </c>
      <c r="F65" s="4" t="s">
        <v>289</v>
      </c>
      <c r="G65" s="4" t="s">
        <v>83</v>
      </c>
      <c r="H65" s="4" t="s">
        <v>181</v>
      </c>
      <c r="I65" s="4" t="s">
        <v>617</v>
      </c>
      <c r="J65" s="4" t="s">
        <v>618</v>
      </c>
      <c r="K65" s="4" t="s">
        <v>216</v>
      </c>
      <c r="L65" s="4" t="s">
        <v>619</v>
      </c>
      <c r="M65" s="4" t="s">
        <v>186</v>
      </c>
      <c r="N65" s="4" t="s">
        <v>166</v>
      </c>
      <c r="O65" s="4" t="s">
        <v>91</v>
      </c>
      <c r="P65" s="4" t="s">
        <v>620</v>
      </c>
      <c r="Q65" s="4" t="s">
        <v>621</v>
      </c>
      <c r="R65" s="4"/>
    </row>
    <row r="66" spans="1:18">
      <c r="A66" s="4" t="s">
        <v>622</v>
      </c>
      <c r="B66" s="4" t="s">
        <v>494</v>
      </c>
      <c r="C66" s="4" t="s">
        <v>26</v>
      </c>
      <c r="D66" s="4" t="s">
        <v>623</v>
      </c>
      <c r="E66" s="4" t="s">
        <v>624</v>
      </c>
      <c r="F66" s="4" t="s">
        <v>289</v>
      </c>
      <c r="G66" s="4" t="s">
        <v>83</v>
      </c>
      <c r="H66" s="4" t="s">
        <v>84</v>
      </c>
      <c r="I66" s="4" t="s">
        <v>625</v>
      </c>
      <c r="J66" s="4" t="s">
        <v>626</v>
      </c>
      <c r="K66" s="4" t="s">
        <v>398</v>
      </c>
      <c r="L66" s="4" t="s">
        <v>627</v>
      </c>
      <c r="M66" s="4" t="s">
        <v>114</v>
      </c>
      <c r="N66" s="4" t="s">
        <v>252</v>
      </c>
      <c r="O66" s="4" t="s">
        <v>91</v>
      </c>
      <c r="P66" s="4" t="s">
        <v>628</v>
      </c>
      <c r="Q66" s="4" t="s">
        <v>629</v>
      </c>
      <c r="R66" s="4"/>
    </row>
    <row r="67" spans="1:18">
      <c r="A67" s="4" t="s">
        <v>630</v>
      </c>
      <c r="B67" s="4" t="s">
        <v>494</v>
      </c>
      <c r="C67" s="4" t="s">
        <v>26</v>
      </c>
      <c r="D67" s="4" t="s">
        <v>631</v>
      </c>
      <c r="E67" s="4" t="s">
        <v>632</v>
      </c>
      <c r="F67" s="4" t="s">
        <v>289</v>
      </c>
      <c r="G67" s="4" t="s">
        <v>83</v>
      </c>
      <c r="H67" s="4" t="s">
        <v>181</v>
      </c>
      <c r="I67" s="4" t="s">
        <v>354</v>
      </c>
      <c r="J67" s="4" t="s">
        <v>633</v>
      </c>
      <c r="K67" s="4" t="s">
        <v>252</v>
      </c>
      <c r="L67" s="4" t="s">
        <v>570</v>
      </c>
      <c r="M67" s="4" t="s">
        <v>186</v>
      </c>
      <c r="N67" s="4" t="s">
        <v>252</v>
      </c>
      <c r="O67" s="4" t="s">
        <v>91</v>
      </c>
      <c r="P67" s="4" t="s">
        <v>634</v>
      </c>
      <c r="Q67" s="4" t="s">
        <v>635</v>
      </c>
      <c r="R67" s="4"/>
    </row>
    <row r="68" spans="1:18" ht="28">
      <c r="A68" s="4" t="s">
        <v>636</v>
      </c>
      <c r="B68" s="4" t="s">
        <v>494</v>
      </c>
      <c r="C68" s="4" t="s">
        <v>32</v>
      </c>
      <c r="D68" s="4" t="s">
        <v>637</v>
      </c>
      <c r="E68" s="4" t="s">
        <v>638</v>
      </c>
      <c r="F68" s="4" t="s">
        <v>109</v>
      </c>
      <c r="G68" s="4" t="s">
        <v>83</v>
      </c>
      <c r="H68" s="4" t="s">
        <v>181</v>
      </c>
      <c r="I68" s="4" t="s">
        <v>639</v>
      </c>
      <c r="J68" s="4" t="s">
        <v>640</v>
      </c>
      <c r="K68" s="4" t="s">
        <v>252</v>
      </c>
      <c r="L68" s="4" t="s">
        <v>399</v>
      </c>
      <c r="M68" s="4" t="s">
        <v>273</v>
      </c>
      <c r="N68" s="4" t="s">
        <v>252</v>
      </c>
      <c r="O68" s="4" t="s">
        <v>91</v>
      </c>
      <c r="P68" s="4" t="s">
        <v>641</v>
      </c>
      <c r="Q68" s="4" t="s">
        <v>642</v>
      </c>
      <c r="R68" s="4"/>
    </row>
    <row r="69" spans="1:18" ht="28">
      <c r="A69" s="4" t="s">
        <v>643</v>
      </c>
      <c r="B69" s="4" t="s">
        <v>494</v>
      </c>
      <c r="C69" s="4" t="s">
        <v>32</v>
      </c>
      <c r="D69" s="4" t="s">
        <v>644</v>
      </c>
      <c r="E69" s="4" t="s">
        <v>645</v>
      </c>
      <c r="F69" s="4" t="s">
        <v>109</v>
      </c>
      <c r="G69" s="4" t="s">
        <v>98</v>
      </c>
      <c r="H69" s="4" t="s">
        <v>181</v>
      </c>
      <c r="I69" s="4" t="s">
        <v>646</v>
      </c>
      <c r="J69" s="4" t="s">
        <v>647</v>
      </c>
      <c r="K69" s="4" t="s">
        <v>499</v>
      </c>
      <c r="L69" s="4" t="s">
        <v>648</v>
      </c>
      <c r="M69" s="4" t="s">
        <v>273</v>
      </c>
      <c r="N69" s="4" t="s">
        <v>166</v>
      </c>
      <c r="O69" s="4" t="s">
        <v>91</v>
      </c>
      <c r="P69" s="4" t="s">
        <v>649</v>
      </c>
      <c r="Q69" s="4" t="s">
        <v>650</v>
      </c>
      <c r="R69" s="4"/>
    </row>
    <row r="70" spans="1:18" ht="28">
      <c r="A70" s="4" t="s">
        <v>651</v>
      </c>
      <c r="B70" s="4" t="s">
        <v>494</v>
      </c>
      <c r="C70" s="4" t="s">
        <v>32</v>
      </c>
      <c r="D70" s="4" t="s">
        <v>652</v>
      </c>
      <c r="E70" s="4" t="s">
        <v>653</v>
      </c>
      <c r="F70" s="4" t="s">
        <v>109</v>
      </c>
      <c r="G70" s="4" t="s">
        <v>560</v>
      </c>
      <c r="H70" s="4" t="s">
        <v>181</v>
      </c>
      <c r="I70" s="4" t="s">
        <v>654</v>
      </c>
      <c r="J70" s="4" t="s">
        <v>655</v>
      </c>
      <c r="K70" s="4" t="s">
        <v>252</v>
      </c>
      <c r="L70" s="4" t="s">
        <v>127</v>
      </c>
      <c r="M70" s="4" t="s">
        <v>273</v>
      </c>
      <c r="N70" s="4" t="s">
        <v>252</v>
      </c>
      <c r="O70" s="4" t="s">
        <v>91</v>
      </c>
      <c r="P70" s="4" t="s">
        <v>656</v>
      </c>
      <c r="Q70" s="4" t="s">
        <v>657</v>
      </c>
      <c r="R70" s="4"/>
    </row>
    <row r="71" spans="1:18" ht="28">
      <c r="A71" s="4" t="s">
        <v>658</v>
      </c>
      <c r="B71" s="4" t="s">
        <v>494</v>
      </c>
      <c r="C71" s="4" t="s">
        <v>32</v>
      </c>
      <c r="D71" s="4" t="s">
        <v>657</v>
      </c>
      <c r="E71" s="4" t="s">
        <v>659</v>
      </c>
      <c r="F71" s="4" t="s">
        <v>109</v>
      </c>
      <c r="G71" s="4" t="s">
        <v>550</v>
      </c>
      <c r="H71" s="4" t="s">
        <v>123</v>
      </c>
      <c r="I71" s="4" t="s">
        <v>413</v>
      </c>
      <c r="J71" s="4" t="s">
        <v>660</v>
      </c>
      <c r="K71" s="4" t="s">
        <v>553</v>
      </c>
      <c r="L71" s="4" t="s">
        <v>127</v>
      </c>
      <c r="M71" s="4" t="s">
        <v>123</v>
      </c>
      <c r="N71" s="4" t="s">
        <v>661</v>
      </c>
      <c r="O71" s="4" t="s">
        <v>139</v>
      </c>
      <c r="P71" s="4" t="s">
        <v>662</v>
      </c>
      <c r="Q71" s="4" t="s">
        <v>663</v>
      </c>
      <c r="R71" s="4"/>
    </row>
    <row r="72" spans="1:18" ht="28">
      <c r="A72" s="4" t="s">
        <v>664</v>
      </c>
      <c r="B72" s="4" t="s">
        <v>494</v>
      </c>
      <c r="C72" s="4" t="s">
        <v>32</v>
      </c>
      <c r="D72" s="4" t="s">
        <v>665</v>
      </c>
      <c r="E72" s="4" t="s">
        <v>666</v>
      </c>
      <c r="F72" s="4" t="s">
        <v>109</v>
      </c>
      <c r="G72" s="4" t="s">
        <v>667</v>
      </c>
      <c r="H72" s="4" t="s">
        <v>123</v>
      </c>
      <c r="I72" s="4" t="s">
        <v>668</v>
      </c>
      <c r="J72" s="4" t="s">
        <v>260</v>
      </c>
      <c r="K72" s="4" t="s">
        <v>261</v>
      </c>
      <c r="L72" s="4" t="s">
        <v>669</v>
      </c>
      <c r="M72" s="4" t="s">
        <v>114</v>
      </c>
      <c r="N72" s="4" t="s">
        <v>670</v>
      </c>
      <c r="O72" s="4" t="s">
        <v>671</v>
      </c>
      <c r="P72" s="4" t="s">
        <v>672</v>
      </c>
      <c r="Q72" s="4" t="s">
        <v>673</v>
      </c>
      <c r="R72" s="4"/>
    </row>
    <row r="73" spans="1:18" ht="28">
      <c r="A73" s="4" t="s">
        <v>674</v>
      </c>
      <c r="B73" s="4" t="s">
        <v>494</v>
      </c>
      <c r="C73" s="4" t="s">
        <v>32</v>
      </c>
      <c r="D73" s="4" t="s">
        <v>675</v>
      </c>
      <c r="E73" s="4" t="s">
        <v>676</v>
      </c>
      <c r="F73" s="4" t="s">
        <v>109</v>
      </c>
      <c r="G73" s="4" t="s">
        <v>83</v>
      </c>
      <c r="H73" s="4" t="s">
        <v>123</v>
      </c>
      <c r="I73" s="4" t="s">
        <v>677</v>
      </c>
      <c r="J73" s="4" t="s">
        <v>678</v>
      </c>
      <c r="K73" s="4" t="s">
        <v>679</v>
      </c>
      <c r="L73" s="4" t="s">
        <v>669</v>
      </c>
      <c r="M73" s="4" t="s">
        <v>114</v>
      </c>
      <c r="N73" s="4" t="s">
        <v>252</v>
      </c>
      <c r="O73" s="4" t="s">
        <v>671</v>
      </c>
      <c r="P73" s="4" t="s">
        <v>680</v>
      </c>
      <c r="Q73" s="4" t="s">
        <v>681</v>
      </c>
      <c r="R73" s="4"/>
    </row>
    <row r="74" spans="1:18" ht="28">
      <c r="A74" s="4" t="s">
        <v>682</v>
      </c>
      <c r="B74" s="4" t="s">
        <v>494</v>
      </c>
      <c r="C74" s="4" t="s">
        <v>32</v>
      </c>
      <c r="D74" s="4" t="s">
        <v>681</v>
      </c>
      <c r="E74" s="4" t="s">
        <v>683</v>
      </c>
      <c r="F74" s="4" t="s">
        <v>109</v>
      </c>
      <c r="G74" s="4" t="s">
        <v>550</v>
      </c>
      <c r="H74" s="4" t="s">
        <v>123</v>
      </c>
      <c r="I74" s="4" t="s">
        <v>684</v>
      </c>
      <c r="J74" s="4" t="s">
        <v>685</v>
      </c>
      <c r="K74" s="4" t="s">
        <v>553</v>
      </c>
      <c r="L74" s="4" t="s">
        <v>686</v>
      </c>
      <c r="M74" s="4" t="s">
        <v>114</v>
      </c>
      <c r="N74" s="4" t="s">
        <v>687</v>
      </c>
      <c r="O74" s="4" t="s">
        <v>139</v>
      </c>
      <c r="P74" s="4" t="s">
        <v>688</v>
      </c>
      <c r="Q74" s="4" t="s">
        <v>689</v>
      </c>
      <c r="R74" s="4"/>
    </row>
    <row r="75" spans="1:18" ht="28">
      <c r="A75" s="4" t="s">
        <v>690</v>
      </c>
      <c r="B75" s="4" t="s">
        <v>494</v>
      </c>
      <c r="C75" s="4" t="s">
        <v>28</v>
      </c>
      <c r="D75" s="4" t="s">
        <v>691</v>
      </c>
      <c r="E75" s="4" t="s">
        <v>692</v>
      </c>
      <c r="F75" s="4" t="s">
        <v>109</v>
      </c>
      <c r="G75" s="4" t="s">
        <v>83</v>
      </c>
      <c r="H75" s="4" t="s">
        <v>123</v>
      </c>
      <c r="I75" s="4" t="s">
        <v>693</v>
      </c>
      <c r="J75" s="4" t="s">
        <v>694</v>
      </c>
      <c r="K75" s="4" t="s">
        <v>252</v>
      </c>
      <c r="L75" s="4" t="s">
        <v>127</v>
      </c>
      <c r="M75" s="4" t="s">
        <v>89</v>
      </c>
      <c r="N75" s="4" t="s">
        <v>252</v>
      </c>
      <c r="O75" s="4" t="s">
        <v>91</v>
      </c>
      <c r="P75" s="4" t="s">
        <v>695</v>
      </c>
      <c r="Q75" s="4" t="s">
        <v>696</v>
      </c>
      <c r="R75" s="4"/>
    </row>
    <row r="76" spans="1:18" ht="28">
      <c r="A76" s="4" t="s">
        <v>697</v>
      </c>
      <c r="B76" s="4" t="s">
        <v>494</v>
      </c>
      <c r="C76" s="4" t="s">
        <v>28</v>
      </c>
      <c r="D76" s="4" t="s">
        <v>698</v>
      </c>
      <c r="E76" s="4" t="s">
        <v>699</v>
      </c>
      <c r="F76" s="4" t="s">
        <v>109</v>
      </c>
      <c r="G76" s="4" t="s">
        <v>134</v>
      </c>
      <c r="H76" s="4" t="s">
        <v>123</v>
      </c>
      <c r="I76" s="4" t="s">
        <v>700</v>
      </c>
      <c r="J76" s="4" t="s">
        <v>701</v>
      </c>
      <c r="K76" s="4" t="s">
        <v>137</v>
      </c>
      <c r="L76" s="4" t="s">
        <v>127</v>
      </c>
      <c r="M76" s="4" t="s">
        <v>89</v>
      </c>
      <c r="N76" s="4" t="s">
        <v>138</v>
      </c>
      <c r="O76" s="4" t="s">
        <v>139</v>
      </c>
      <c r="P76" s="4" t="s">
        <v>702</v>
      </c>
      <c r="Q76" s="4" t="s">
        <v>703</v>
      </c>
      <c r="R76" s="4"/>
    </row>
    <row r="77" spans="1:18" ht="28">
      <c r="A77" s="4" t="s">
        <v>704</v>
      </c>
      <c r="B77" s="4" t="s">
        <v>494</v>
      </c>
      <c r="C77" s="4" t="s">
        <v>28</v>
      </c>
      <c r="D77" s="4" t="s">
        <v>705</v>
      </c>
      <c r="E77" s="4" t="s">
        <v>706</v>
      </c>
      <c r="F77" s="4" t="s">
        <v>109</v>
      </c>
      <c r="G77" s="4" t="s">
        <v>134</v>
      </c>
      <c r="H77" s="4" t="s">
        <v>145</v>
      </c>
      <c r="I77" s="4" t="s">
        <v>707</v>
      </c>
      <c r="J77" s="4" t="s">
        <v>147</v>
      </c>
      <c r="K77" s="4" t="s">
        <v>708</v>
      </c>
      <c r="L77" s="4" t="s">
        <v>127</v>
      </c>
      <c r="M77" s="4" t="s">
        <v>89</v>
      </c>
      <c r="N77" s="4" t="s">
        <v>138</v>
      </c>
      <c r="O77" s="4" t="s">
        <v>139</v>
      </c>
      <c r="P77" s="4" t="s">
        <v>709</v>
      </c>
      <c r="Q77" s="4" t="s">
        <v>150</v>
      </c>
      <c r="R77" s="4"/>
    </row>
    <row r="78" spans="1:18" ht="28">
      <c r="A78" s="4" t="s">
        <v>710</v>
      </c>
      <c r="B78" s="4" t="s">
        <v>494</v>
      </c>
      <c r="C78" s="4" t="s">
        <v>28</v>
      </c>
      <c r="D78" s="4" t="s">
        <v>711</v>
      </c>
      <c r="E78" s="4" t="s">
        <v>712</v>
      </c>
      <c r="F78" s="4" t="s">
        <v>109</v>
      </c>
      <c r="G78" s="4" t="s">
        <v>134</v>
      </c>
      <c r="H78" s="4" t="s">
        <v>123</v>
      </c>
      <c r="I78" s="4" t="s">
        <v>713</v>
      </c>
      <c r="J78" s="4" t="s">
        <v>141</v>
      </c>
      <c r="K78" s="4" t="s">
        <v>137</v>
      </c>
      <c r="L78" s="4" t="s">
        <v>127</v>
      </c>
      <c r="M78" s="4" t="s">
        <v>89</v>
      </c>
      <c r="N78" s="4" t="s">
        <v>138</v>
      </c>
      <c r="O78" s="4" t="s">
        <v>139</v>
      </c>
      <c r="P78" s="4" t="s">
        <v>714</v>
      </c>
      <c r="Q78" s="4" t="s">
        <v>134</v>
      </c>
      <c r="R78" s="4"/>
    </row>
    <row r="79" spans="1:18" ht="28">
      <c r="A79" s="4" t="s">
        <v>715</v>
      </c>
      <c r="B79" s="4" t="s">
        <v>494</v>
      </c>
      <c r="C79" s="4" t="s">
        <v>28</v>
      </c>
      <c r="D79" s="4" t="s">
        <v>200</v>
      </c>
      <c r="E79" s="4" t="s">
        <v>716</v>
      </c>
      <c r="F79" s="4" t="s">
        <v>109</v>
      </c>
      <c r="G79" s="4" t="s">
        <v>192</v>
      </c>
      <c r="H79" s="4" t="s">
        <v>193</v>
      </c>
      <c r="I79" s="4" t="s">
        <v>717</v>
      </c>
      <c r="J79" s="4" t="s">
        <v>260</v>
      </c>
      <c r="K79" s="4" t="s">
        <v>195</v>
      </c>
      <c r="L79" s="4" t="s">
        <v>196</v>
      </c>
      <c r="M79" s="4" t="s">
        <v>89</v>
      </c>
      <c r="N79" s="4" t="s">
        <v>718</v>
      </c>
      <c r="O79" s="4" t="s">
        <v>198</v>
      </c>
      <c r="P79" s="4" t="s">
        <v>719</v>
      </c>
      <c r="Q79" s="4" t="s">
        <v>720</v>
      </c>
      <c r="R79" s="4"/>
    </row>
    <row r="80" spans="1:18" ht="28">
      <c r="A80" s="4" t="s">
        <v>721</v>
      </c>
      <c r="B80" s="4" t="s">
        <v>494</v>
      </c>
      <c r="C80" s="4" t="s">
        <v>28</v>
      </c>
      <c r="D80" s="4" t="s">
        <v>722</v>
      </c>
      <c r="E80" s="4" t="s">
        <v>723</v>
      </c>
      <c r="F80" s="4" t="s">
        <v>109</v>
      </c>
      <c r="G80" s="4" t="s">
        <v>550</v>
      </c>
      <c r="H80" s="4" t="s">
        <v>193</v>
      </c>
      <c r="I80" s="4" t="s">
        <v>724</v>
      </c>
      <c r="J80" s="4" t="s">
        <v>725</v>
      </c>
      <c r="K80" s="4" t="s">
        <v>553</v>
      </c>
      <c r="L80" s="4" t="s">
        <v>453</v>
      </c>
      <c r="M80" s="4" t="s">
        <v>114</v>
      </c>
      <c r="N80" s="4" t="s">
        <v>726</v>
      </c>
      <c r="O80" s="4" t="s">
        <v>91</v>
      </c>
      <c r="P80" s="4" t="s">
        <v>727</v>
      </c>
      <c r="Q80" s="4" t="s">
        <v>728</v>
      </c>
      <c r="R80" s="4"/>
    </row>
    <row r="81" spans="1:18" ht="28">
      <c r="A81" s="4" t="s">
        <v>729</v>
      </c>
      <c r="B81" s="4" t="s">
        <v>494</v>
      </c>
      <c r="C81" s="4" t="s">
        <v>30</v>
      </c>
      <c r="D81" s="4" t="s">
        <v>730</v>
      </c>
      <c r="E81" s="4" t="s">
        <v>731</v>
      </c>
      <c r="F81" s="4" t="s">
        <v>732</v>
      </c>
      <c r="G81" s="4" t="s">
        <v>83</v>
      </c>
      <c r="H81" s="4" t="s">
        <v>123</v>
      </c>
      <c r="I81" s="4" t="s">
        <v>733</v>
      </c>
      <c r="J81" s="4" t="s">
        <v>734</v>
      </c>
      <c r="K81" s="4" t="s">
        <v>735</v>
      </c>
      <c r="L81" s="4" t="s">
        <v>686</v>
      </c>
      <c r="M81" s="4" t="s">
        <v>114</v>
      </c>
      <c r="N81" s="4" t="s">
        <v>490</v>
      </c>
      <c r="O81" s="4" t="s">
        <v>91</v>
      </c>
      <c r="P81" s="4" t="s">
        <v>736</v>
      </c>
      <c r="Q81" s="4" t="s">
        <v>737</v>
      </c>
      <c r="R81" s="4"/>
    </row>
    <row r="82" spans="1:18" ht="28">
      <c r="A82" s="4" t="s">
        <v>738</v>
      </c>
      <c r="B82" s="4" t="s">
        <v>494</v>
      </c>
      <c r="C82" s="4" t="s">
        <v>30</v>
      </c>
      <c r="D82" s="4" t="s">
        <v>739</v>
      </c>
      <c r="E82" s="4" t="s">
        <v>740</v>
      </c>
      <c r="F82" s="4" t="s">
        <v>732</v>
      </c>
      <c r="G82" s="4" t="s">
        <v>83</v>
      </c>
      <c r="H82" s="4" t="s">
        <v>123</v>
      </c>
      <c r="I82" s="4" t="s">
        <v>741</v>
      </c>
      <c r="J82" s="4" t="s">
        <v>742</v>
      </c>
      <c r="K82" s="4" t="s">
        <v>735</v>
      </c>
      <c r="L82" s="4" t="s">
        <v>743</v>
      </c>
      <c r="M82" s="4" t="s">
        <v>114</v>
      </c>
      <c r="N82" s="4" t="s">
        <v>490</v>
      </c>
      <c r="O82" s="4" t="s">
        <v>91</v>
      </c>
      <c r="P82" s="4" t="s">
        <v>744</v>
      </c>
      <c r="Q82" s="4" t="s">
        <v>745</v>
      </c>
      <c r="R82" s="4"/>
    </row>
    <row r="83" spans="1:18" ht="28">
      <c r="A83" s="4" t="s">
        <v>746</v>
      </c>
      <c r="B83" s="4" t="s">
        <v>494</v>
      </c>
      <c r="C83" s="4" t="s">
        <v>30</v>
      </c>
      <c r="D83" s="4" t="s">
        <v>747</v>
      </c>
      <c r="E83" s="4" t="s">
        <v>748</v>
      </c>
      <c r="F83" s="4" t="s">
        <v>732</v>
      </c>
      <c r="G83" s="4" t="s">
        <v>83</v>
      </c>
      <c r="H83" s="4" t="s">
        <v>123</v>
      </c>
      <c r="I83" s="4" t="s">
        <v>749</v>
      </c>
      <c r="J83" s="4" t="s">
        <v>750</v>
      </c>
      <c r="K83" s="4" t="s">
        <v>735</v>
      </c>
      <c r="L83" s="4" t="s">
        <v>751</v>
      </c>
      <c r="M83" s="4" t="s">
        <v>89</v>
      </c>
      <c r="N83" s="4" t="s">
        <v>490</v>
      </c>
      <c r="O83" s="4" t="s">
        <v>91</v>
      </c>
      <c r="P83" s="4" t="s">
        <v>752</v>
      </c>
      <c r="Q83" s="4" t="s">
        <v>753</v>
      </c>
      <c r="R83" s="4"/>
    </row>
    <row r="84" spans="1:18" ht="28">
      <c r="A84" s="4" t="s">
        <v>754</v>
      </c>
      <c r="B84" s="4" t="s">
        <v>494</v>
      </c>
      <c r="C84" s="4" t="s">
        <v>30</v>
      </c>
      <c r="D84" s="4" t="s">
        <v>755</v>
      </c>
      <c r="E84" s="4" t="s">
        <v>756</v>
      </c>
      <c r="F84" s="4" t="s">
        <v>732</v>
      </c>
      <c r="G84" s="4" t="s">
        <v>83</v>
      </c>
      <c r="H84" s="4" t="s">
        <v>84</v>
      </c>
      <c r="I84" s="4" t="s">
        <v>757</v>
      </c>
      <c r="J84" s="4" t="s">
        <v>758</v>
      </c>
      <c r="K84" s="4" t="s">
        <v>735</v>
      </c>
      <c r="L84" s="4" t="s">
        <v>759</v>
      </c>
      <c r="M84" s="4" t="s">
        <v>114</v>
      </c>
      <c r="N84" s="4" t="s">
        <v>490</v>
      </c>
      <c r="O84" s="4" t="s">
        <v>91</v>
      </c>
      <c r="P84" s="4" t="s">
        <v>760</v>
      </c>
      <c r="Q84" s="4" t="s">
        <v>761</v>
      </c>
      <c r="R84" s="4"/>
    </row>
    <row r="85" spans="1:18" ht="28">
      <c r="A85" s="4" t="s">
        <v>762</v>
      </c>
      <c r="B85" s="4" t="s">
        <v>494</v>
      </c>
      <c r="C85" s="4" t="s">
        <v>30</v>
      </c>
      <c r="D85" s="4" t="s">
        <v>763</v>
      </c>
      <c r="E85" s="4" t="s">
        <v>764</v>
      </c>
      <c r="F85" s="4" t="s">
        <v>732</v>
      </c>
      <c r="G85" s="4" t="s">
        <v>83</v>
      </c>
      <c r="H85" s="4" t="s">
        <v>279</v>
      </c>
      <c r="I85" s="4" t="s">
        <v>765</v>
      </c>
      <c r="J85" s="4" t="s">
        <v>766</v>
      </c>
      <c r="K85" s="4" t="s">
        <v>735</v>
      </c>
      <c r="L85" s="4" t="s">
        <v>767</v>
      </c>
      <c r="M85" s="4" t="s">
        <v>114</v>
      </c>
      <c r="N85" s="4" t="s">
        <v>490</v>
      </c>
      <c r="O85" s="4" t="s">
        <v>91</v>
      </c>
      <c r="P85" s="4" t="s">
        <v>768</v>
      </c>
      <c r="Q85" s="4" t="s">
        <v>769</v>
      </c>
      <c r="R85" s="4"/>
    </row>
    <row r="86" spans="1:18" ht="28">
      <c r="A86" s="4" t="s">
        <v>770</v>
      </c>
      <c r="B86" s="4" t="s">
        <v>494</v>
      </c>
      <c r="C86" s="4" t="s">
        <v>30</v>
      </c>
      <c r="D86" s="4" t="s">
        <v>771</v>
      </c>
      <c r="E86" s="4" t="s">
        <v>772</v>
      </c>
      <c r="F86" s="4" t="s">
        <v>732</v>
      </c>
      <c r="G86" s="4" t="s">
        <v>83</v>
      </c>
      <c r="H86" s="4" t="s">
        <v>279</v>
      </c>
      <c r="I86" s="4" t="s">
        <v>773</v>
      </c>
      <c r="J86" s="4" t="s">
        <v>774</v>
      </c>
      <c r="K86" s="4" t="s">
        <v>735</v>
      </c>
      <c r="L86" s="4" t="s">
        <v>775</v>
      </c>
      <c r="M86" s="4" t="s">
        <v>186</v>
      </c>
      <c r="N86" s="4" t="s">
        <v>490</v>
      </c>
      <c r="O86" s="4" t="s">
        <v>91</v>
      </c>
      <c r="P86" s="4" t="s">
        <v>776</v>
      </c>
      <c r="Q86" s="4" t="s">
        <v>777</v>
      </c>
      <c r="R86" s="4"/>
    </row>
    <row r="87" spans="1:18" ht="28">
      <c r="A87" s="4" t="s">
        <v>778</v>
      </c>
      <c r="B87" s="4" t="s">
        <v>494</v>
      </c>
      <c r="C87" s="4" t="s">
        <v>30</v>
      </c>
      <c r="D87" s="4" t="s">
        <v>779</v>
      </c>
      <c r="E87" s="4" t="s">
        <v>780</v>
      </c>
      <c r="F87" s="4" t="s">
        <v>732</v>
      </c>
      <c r="G87" s="4" t="s">
        <v>781</v>
      </c>
      <c r="H87" s="4" t="s">
        <v>123</v>
      </c>
      <c r="I87" s="4" t="s">
        <v>782</v>
      </c>
      <c r="J87" s="4" t="s">
        <v>783</v>
      </c>
      <c r="K87" s="4" t="s">
        <v>389</v>
      </c>
      <c r="L87" s="4" t="s">
        <v>784</v>
      </c>
      <c r="M87" s="4" t="s">
        <v>114</v>
      </c>
      <c r="N87" s="4" t="s">
        <v>785</v>
      </c>
      <c r="O87" s="4" t="s">
        <v>91</v>
      </c>
      <c r="P87" s="4" t="s">
        <v>786</v>
      </c>
      <c r="Q87" s="4" t="s">
        <v>787</v>
      </c>
      <c r="R87" s="4"/>
    </row>
    <row r="88" spans="1:18" ht="28">
      <c r="A88" s="4" t="s">
        <v>788</v>
      </c>
      <c r="B88" s="4" t="s">
        <v>494</v>
      </c>
      <c r="C88" s="4" t="s">
        <v>30</v>
      </c>
      <c r="D88" s="4" t="s">
        <v>789</v>
      </c>
      <c r="E88" s="4" t="s">
        <v>790</v>
      </c>
      <c r="F88" s="4" t="s">
        <v>732</v>
      </c>
      <c r="G88" s="4" t="s">
        <v>560</v>
      </c>
      <c r="H88" s="4" t="s">
        <v>123</v>
      </c>
      <c r="I88" s="4" t="s">
        <v>791</v>
      </c>
      <c r="J88" s="4" t="s">
        <v>792</v>
      </c>
      <c r="K88" s="4" t="s">
        <v>389</v>
      </c>
      <c r="L88" s="4" t="s">
        <v>784</v>
      </c>
      <c r="M88" s="4" t="s">
        <v>114</v>
      </c>
      <c r="N88" s="4" t="s">
        <v>785</v>
      </c>
      <c r="O88" s="4" t="s">
        <v>91</v>
      </c>
      <c r="P88" s="4" t="s">
        <v>793</v>
      </c>
      <c r="Q88" s="4" t="s">
        <v>794</v>
      </c>
      <c r="R88" s="4"/>
    </row>
    <row r="89" spans="1:18" ht="28">
      <c r="A89" s="4" t="s">
        <v>795</v>
      </c>
      <c r="B89" s="4" t="s">
        <v>494</v>
      </c>
      <c r="C89" s="4" t="s">
        <v>30</v>
      </c>
      <c r="D89" s="4" t="s">
        <v>796</v>
      </c>
      <c r="E89" s="4" t="s">
        <v>797</v>
      </c>
      <c r="F89" s="4" t="s">
        <v>732</v>
      </c>
      <c r="G89" s="4" t="s">
        <v>83</v>
      </c>
      <c r="H89" s="4" t="s">
        <v>123</v>
      </c>
      <c r="I89" s="4" t="s">
        <v>798</v>
      </c>
      <c r="J89" s="4" t="s">
        <v>799</v>
      </c>
      <c r="K89" s="4" t="s">
        <v>252</v>
      </c>
      <c r="L89" s="4" t="s">
        <v>800</v>
      </c>
      <c r="M89" s="4" t="s">
        <v>114</v>
      </c>
      <c r="N89" s="4" t="s">
        <v>252</v>
      </c>
      <c r="O89" s="4" t="s">
        <v>91</v>
      </c>
      <c r="P89" s="4" t="s">
        <v>801</v>
      </c>
      <c r="Q89" s="4" t="s">
        <v>802</v>
      </c>
      <c r="R89" s="4"/>
    </row>
  </sheetData>
  <mergeCells count="2">
    <mergeCell ref="A1:R1"/>
    <mergeCell ref="A2:R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selection sqref="A1:H1"/>
    </sheetView>
  </sheetViews>
  <sheetFormatPr defaultRowHeight="14"/>
  <cols>
    <col min="1" max="1" width="14" customWidth="1"/>
    <col min="2" max="2" width="28" customWidth="1"/>
    <col min="3" max="3" width="36" customWidth="1"/>
    <col min="4" max="4" width="12" customWidth="1"/>
    <col min="5" max="5" width="36" customWidth="1"/>
    <col min="6" max="6" width="58" customWidth="1"/>
    <col min="7" max="8" width="38" customWidth="1"/>
  </cols>
  <sheetData>
    <row r="1" spans="1:8" ht="23">
      <c r="A1" s="7" t="s">
        <v>803</v>
      </c>
      <c r="B1" s="8"/>
      <c r="C1" s="8"/>
      <c r="D1" s="8"/>
      <c r="E1" s="8"/>
      <c r="F1" s="8"/>
      <c r="G1" s="8"/>
      <c r="H1" s="8"/>
    </row>
    <row r="2" spans="1:8">
      <c r="A2" s="9" t="s">
        <v>804</v>
      </c>
      <c r="B2" s="8"/>
      <c r="C2" s="8"/>
      <c r="D2" s="8"/>
      <c r="E2" s="8"/>
      <c r="F2" s="8"/>
      <c r="G2" s="8"/>
      <c r="H2" s="8"/>
    </row>
    <row r="3" spans="1:8" ht="22.65" customHeight="1">
      <c r="A3" s="2" t="s">
        <v>805</v>
      </c>
      <c r="B3" s="2" t="s">
        <v>806</v>
      </c>
      <c r="C3" s="2" t="s">
        <v>807</v>
      </c>
      <c r="D3" s="2" t="s">
        <v>808</v>
      </c>
      <c r="E3" s="2" t="s">
        <v>809</v>
      </c>
      <c r="F3" s="2" t="s">
        <v>810</v>
      </c>
      <c r="G3" s="2" t="s">
        <v>811</v>
      </c>
      <c r="H3" s="2" t="s">
        <v>812</v>
      </c>
    </row>
    <row r="4" spans="1:8" ht="28">
      <c r="A4" s="4" t="s">
        <v>87</v>
      </c>
      <c r="B4" s="4" t="s">
        <v>813</v>
      </c>
      <c r="C4" s="4" t="s">
        <v>814</v>
      </c>
      <c r="D4" s="4">
        <v>6</v>
      </c>
      <c r="E4" s="4" t="s">
        <v>815</v>
      </c>
      <c r="F4" s="4" t="s">
        <v>816</v>
      </c>
      <c r="G4" s="4" t="s">
        <v>817</v>
      </c>
      <c r="H4" s="4" t="s">
        <v>143</v>
      </c>
    </row>
    <row r="5" spans="1:8" ht="28">
      <c r="A5" s="4" t="s">
        <v>184</v>
      </c>
      <c r="B5" s="4" t="s">
        <v>818</v>
      </c>
      <c r="C5" s="4" t="s">
        <v>819</v>
      </c>
      <c r="D5" s="4">
        <v>6</v>
      </c>
      <c r="E5" s="4" t="s">
        <v>820</v>
      </c>
      <c r="F5" s="4" t="s">
        <v>821</v>
      </c>
      <c r="G5" s="4" t="s">
        <v>822</v>
      </c>
      <c r="H5" s="4" t="s">
        <v>823</v>
      </c>
    </row>
    <row r="6" spans="1:8" ht="28">
      <c r="A6" s="4" t="s">
        <v>216</v>
      </c>
      <c r="B6" s="4" t="s">
        <v>824</v>
      </c>
      <c r="C6" s="4" t="s">
        <v>825</v>
      </c>
      <c r="D6" s="4">
        <v>6</v>
      </c>
      <c r="E6" s="4" t="s">
        <v>826</v>
      </c>
      <c r="F6" s="4" t="s">
        <v>827</v>
      </c>
      <c r="G6" s="4" t="s">
        <v>828</v>
      </c>
      <c r="H6" s="4" t="s">
        <v>829</v>
      </c>
    </row>
    <row r="7" spans="1:8" ht="28">
      <c r="A7" s="4" t="s">
        <v>157</v>
      </c>
      <c r="B7" s="4" t="s">
        <v>830</v>
      </c>
      <c r="C7" s="4" t="s">
        <v>831</v>
      </c>
      <c r="D7" s="4">
        <v>4</v>
      </c>
      <c r="E7" s="4" t="s">
        <v>832</v>
      </c>
      <c r="F7" s="4" t="s">
        <v>833</v>
      </c>
      <c r="G7" s="4" t="s">
        <v>834</v>
      </c>
      <c r="H7" s="4" t="s">
        <v>835</v>
      </c>
    </row>
    <row r="8" spans="1:8" ht="28">
      <c r="A8" s="4" t="s">
        <v>231</v>
      </c>
      <c r="B8" s="4" t="s">
        <v>836</v>
      </c>
      <c r="C8" s="4" t="s">
        <v>837</v>
      </c>
      <c r="D8" s="4">
        <v>4</v>
      </c>
      <c r="E8" s="4" t="s">
        <v>832</v>
      </c>
      <c r="F8" s="4" t="s">
        <v>838</v>
      </c>
      <c r="G8" s="4" t="s">
        <v>839</v>
      </c>
      <c r="H8" s="4" t="s">
        <v>840</v>
      </c>
    </row>
    <row r="9" spans="1:8">
      <c r="A9" s="4" t="s">
        <v>250</v>
      </c>
      <c r="B9" s="4" t="s">
        <v>249</v>
      </c>
      <c r="C9" s="4" t="s">
        <v>841</v>
      </c>
      <c r="D9" s="4">
        <v>3</v>
      </c>
      <c r="E9" s="4" t="s">
        <v>842</v>
      </c>
      <c r="F9" s="4" t="s">
        <v>843</v>
      </c>
      <c r="G9" s="4" t="s">
        <v>844</v>
      </c>
      <c r="H9" s="4" t="s">
        <v>845</v>
      </c>
    </row>
    <row r="10" spans="1:8">
      <c r="A10" s="4" t="s">
        <v>282</v>
      </c>
      <c r="B10" s="4" t="s">
        <v>846</v>
      </c>
      <c r="C10" s="4" t="s">
        <v>847</v>
      </c>
      <c r="D10" s="4">
        <v>5</v>
      </c>
      <c r="E10" s="4" t="s">
        <v>848</v>
      </c>
      <c r="F10" s="4" t="s">
        <v>849</v>
      </c>
      <c r="G10" s="4" t="s">
        <v>850</v>
      </c>
      <c r="H10" s="4" t="s">
        <v>851</v>
      </c>
    </row>
    <row r="11" spans="1:8" ht="28">
      <c r="A11" s="4" t="s">
        <v>499</v>
      </c>
      <c r="B11" s="4" t="s">
        <v>852</v>
      </c>
      <c r="C11" s="4" t="s">
        <v>853</v>
      </c>
      <c r="D11" s="4">
        <v>4</v>
      </c>
      <c r="E11" s="4" t="s">
        <v>832</v>
      </c>
      <c r="F11" s="4" t="s">
        <v>854</v>
      </c>
      <c r="G11" s="4" t="s">
        <v>855</v>
      </c>
      <c r="H11" s="4" t="s">
        <v>856</v>
      </c>
    </row>
    <row r="12" spans="1:8" ht="28">
      <c r="A12" s="4" t="s">
        <v>610</v>
      </c>
      <c r="B12" s="4" t="s">
        <v>857</v>
      </c>
      <c r="C12" s="4" t="s">
        <v>858</v>
      </c>
      <c r="D12" s="4">
        <v>4</v>
      </c>
      <c r="E12" s="4" t="s">
        <v>832</v>
      </c>
      <c r="F12" s="4" t="s">
        <v>859</v>
      </c>
      <c r="G12" s="4" t="s">
        <v>860</v>
      </c>
      <c r="H12" s="4" t="s">
        <v>861</v>
      </c>
    </row>
    <row r="13" spans="1:8">
      <c r="A13" s="4" t="s">
        <v>380</v>
      </c>
      <c r="B13" s="4" t="s">
        <v>862</v>
      </c>
      <c r="C13" s="4" t="s">
        <v>863</v>
      </c>
      <c r="D13" s="4">
        <v>5</v>
      </c>
      <c r="E13" s="4" t="s">
        <v>864</v>
      </c>
      <c r="F13" s="4" t="s">
        <v>865</v>
      </c>
      <c r="G13" s="4" t="s">
        <v>866</v>
      </c>
      <c r="H13" s="4" t="s">
        <v>867</v>
      </c>
    </row>
    <row r="14" spans="1:8" ht="28">
      <c r="A14" s="4" t="s">
        <v>389</v>
      </c>
      <c r="B14" s="4" t="s">
        <v>868</v>
      </c>
      <c r="C14" s="4" t="s">
        <v>869</v>
      </c>
      <c r="D14" s="4" t="s">
        <v>870</v>
      </c>
      <c r="E14" s="4" t="s">
        <v>871</v>
      </c>
      <c r="F14" s="4" t="s">
        <v>872</v>
      </c>
      <c r="G14" s="4" t="s">
        <v>873</v>
      </c>
      <c r="H14" s="4" t="s">
        <v>874</v>
      </c>
    </row>
    <row r="15" spans="1:8">
      <c r="A15" s="4" t="s">
        <v>195</v>
      </c>
      <c r="B15" s="4" t="s">
        <v>875</v>
      </c>
      <c r="C15" s="4" t="s">
        <v>876</v>
      </c>
      <c r="D15" s="4">
        <v>1</v>
      </c>
      <c r="E15" s="4" t="s">
        <v>877</v>
      </c>
      <c r="F15" s="4" t="s">
        <v>878</v>
      </c>
      <c r="G15" s="4" t="s">
        <v>879</v>
      </c>
      <c r="H15" s="4" t="s">
        <v>880</v>
      </c>
    </row>
    <row r="16" spans="1:8" ht="28">
      <c r="A16" s="4" t="s">
        <v>735</v>
      </c>
      <c r="B16" s="4" t="s">
        <v>689</v>
      </c>
      <c r="C16" s="4" t="s">
        <v>881</v>
      </c>
      <c r="D16" s="4" t="s">
        <v>882</v>
      </c>
      <c r="E16" s="4" t="s">
        <v>883</v>
      </c>
      <c r="F16" s="4" t="s">
        <v>884</v>
      </c>
      <c r="G16" s="4" t="s">
        <v>885</v>
      </c>
      <c r="H16" s="4" t="s">
        <v>886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0"/>
  <sheetViews>
    <sheetView workbookViewId="0">
      <selection sqref="A1:E1"/>
    </sheetView>
  </sheetViews>
  <sheetFormatPr defaultRowHeight="14"/>
  <cols>
    <col min="1" max="1" width="14" customWidth="1"/>
    <col min="2" max="3" width="18" customWidth="1"/>
    <col min="4" max="4" width="38" customWidth="1"/>
    <col min="5" max="5" width="52" customWidth="1"/>
  </cols>
  <sheetData>
    <row r="1" spans="1:5" ht="23">
      <c r="A1" s="7" t="s">
        <v>887</v>
      </c>
      <c r="B1" s="8"/>
      <c r="C1" s="8"/>
      <c r="D1" s="8"/>
      <c r="E1" s="8"/>
    </row>
    <row r="2" spans="1:5">
      <c r="A2" s="9" t="s">
        <v>888</v>
      </c>
      <c r="B2" s="8"/>
      <c r="C2" s="8"/>
      <c r="D2" s="8"/>
      <c r="E2" s="8"/>
    </row>
    <row r="3" spans="1:5" ht="22.65" customHeight="1">
      <c r="A3" s="2" t="s">
        <v>805</v>
      </c>
      <c r="B3" s="2" t="s">
        <v>889</v>
      </c>
      <c r="C3" s="2" t="s">
        <v>890</v>
      </c>
      <c r="D3" s="2" t="s">
        <v>891</v>
      </c>
      <c r="E3" s="2" t="s">
        <v>20</v>
      </c>
    </row>
    <row r="4" spans="1:5">
      <c r="A4" s="4" t="s">
        <v>87</v>
      </c>
      <c r="B4" s="4" t="s">
        <v>892</v>
      </c>
      <c r="C4" s="4" t="s">
        <v>893</v>
      </c>
      <c r="D4" s="4" t="s">
        <v>894</v>
      </c>
      <c r="E4" s="4" t="s">
        <v>895</v>
      </c>
    </row>
    <row r="5" spans="1:5">
      <c r="A5" s="4" t="s">
        <v>87</v>
      </c>
      <c r="B5" s="4" t="s">
        <v>896</v>
      </c>
      <c r="C5" s="4" t="s">
        <v>897</v>
      </c>
      <c r="D5" s="4" t="s">
        <v>898</v>
      </c>
      <c r="E5" s="4" t="s">
        <v>899</v>
      </c>
    </row>
    <row r="6" spans="1:5">
      <c r="A6" s="4" t="s">
        <v>87</v>
      </c>
      <c r="B6" s="4" t="s">
        <v>900</v>
      </c>
      <c r="C6" s="4" t="s">
        <v>901</v>
      </c>
      <c r="D6" s="4" t="s">
        <v>902</v>
      </c>
      <c r="E6" s="4" t="s">
        <v>903</v>
      </c>
    </row>
    <row r="7" spans="1:5">
      <c r="A7" s="4" t="s">
        <v>87</v>
      </c>
      <c r="B7" s="4" t="s">
        <v>904</v>
      </c>
      <c r="C7" s="4" t="s">
        <v>905</v>
      </c>
      <c r="D7" s="4" t="s">
        <v>906</v>
      </c>
      <c r="E7" s="4" t="s">
        <v>907</v>
      </c>
    </row>
    <row r="8" spans="1:5">
      <c r="A8" s="4" t="s">
        <v>87</v>
      </c>
      <c r="B8" s="4" t="s">
        <v>908</v>
      </c>
      <c r="C8" s="4" t="s">
        <v>909</v>
      </c>
      <c r="D8" s="4" t="s">
        <v>910</v>
      </c>
      <c r="E8" s="4" t="s">
        <v>911</v>
      </c>
    </row>
    <row r="9" spans="1:5">
      <c r="A9" s="4" t="s">
        <v>87</v>
      </c>
      <c r="B9" s="4" t="s">
        <v>912</v>
      </c>
      <c r="C9" s="4" t="s">
        <v>913</v>
      </c>
      <c r="D9" s="4" t="s">
        <v>914</v>
      </c>
      <c r="E9" s="4" t="s">
        <v>915</v>
      </c>
    </row>
    <row r="10" spans="1:5">
      <c r="A10" s="4" t="s">
        <v>184</v>
      </c>
      <c r="B10" s="4" t="s">
        <v>892</v>
      </c>
      <c r="C10" s="4" t="s">
        <v>893</v>
      </c>
      <c r="D10" s="4" t="s">
        <v>916</v>
      </c>
      <c r="E10" s="4" t="s">
        <v>917</v>
      </c>
    </row>
    <row r="11" spans="1:5">
      <c r="A11" s="4" t="s">
        <v>184</v>
      </c>
      <c r="B11" s="4" t="s">
        <v>896</v>
      </c>
      <c r="C11" s="4" t="s">
        <v>901</v>
      </c>
      <c r="D11" s="4" t="s">
        <v>918</v>
      </c>
      <c r="E11" s="4" t="s">
        <v>919</v>
      </c>
    </row>
    <row r="12" spans="1:5">
      <c r="A12" s="4" t="s">
        <v>184</v>
      </c>
      <c r="B12" s="4" t="s">
        <v>900</v>
      </c>
      <c r="C12" s="4" t="s">
        <v>920</v>
      </c>
      <c r="D12" s="4" t="s">
        <v>921</v>
      </c>
      <c r="E12" s="4" t="s">
        <v>922</v>
      </c>
    </row>
    <row r="13" spans="1:5">
      <c r="A13" s="4" t="s">
        <v>184</v>
      </c>
      <c r="B13" s="4" t="s">
        <v>904</v>
      </c>
      <c r="C13" s="4" t="s">
        <v>923</v>
      </c>
      <c r="D13" s="4" t="s">
        <v>924</v>
      </c>
      <c r="E13" s="4" t="s">
        <v>925</v>
      </c>
    </row>
    <row r="14" spans="1:5">
      <c r="A14" s="4" t="s">
        <v>184</v>
      </c>
      <c r="B14" s="4" t="s">
        <v>908</v>
      </c>
      <c r="C14" s="4" t="s">
        <v>926</v>
      </c>
      <c r="D14" s="4" t="s">
        <v>927</v>
      </c>
      <c r="E14" s="4" t="s">
        <v>928</v>
      </c>
    </row>
    <row r="15" spans="1:5">
      <c r="A15" s="4" t="s">
        <v>184</v>
      </c>
      <c r="B15" s="4" t="s">
        <v>912</v>
      </c>
      <c r="C15" s="4" t="s">
        <v>929</v>
      </c>
      <c r="D15" s="4" t="s">
        <v>930</v>
      </c>
      <c r="E15" s="4" t="s">
        <v>931</v>
      </c>
    </row>
    <row r="16" spans="1:5">
      <c r="A16" s="4" t="s">
        <v>216</v>
      </c>
      <c r="B16" s="4" t="s">
        <v>892</v>
      </c>
      <c r="C16" s="4" t="s">
        <v>893</v>
      </c>
      <c r="D16" s="4" t="s">
        <v>932</v>
      </c>
      <c r="E16" s="4" t="s">
        <v>933</v>
      </c>
    </row>
    <row r="17" spans="1:5">
      <c r="A17" s="4" t="s">
        <v>216</v>
      </c>
      <c r="B17" s="4" t="s">
        <v>896</v>
      </c>
      <c r="C17" s="4" t="s">
        <v>905</v>
      </c>
      <c r="D17" s="4" t="s">
        <v>934</v>
      </c>
      <c r="E17" s="4" t="s">
        <v>935</v>
      </c>
    </row>
    <row r="18" spans="1:5">
      <c r="A18" s="4" t="s">
        <v>216</v>
      </c>
      <c r="B18" s="4" t="s">
        <v>900</v>
      </c>
      <c r="C18" s="4" t="s">
        <v>936</v>
      </c>
      <c r="D18" s="4" t="s">
        <v>937</v>
      </c>
      <c r="E18" s="4" t="s">
        <v>938</v>
      </c>
    </row>
    <row r="19" spans="1:5">
      <c r="A19" s="4" t="s">
        <v>216</v>
      </c>
      <c r="B19" s="4" t="s">
        <v>904</v>
      </c>
      <c r="C19" s="4" t="s">
        <v>939</v>
      </c>
      <c r="D19" s="4" t="s">
        <v>940</v>
      </c>
      <c r="E19" s="4" t="s">
        <v>941</v>
      </c>
    </row>
    <row r="20" spans="1:5">
      <c r="A20" s="4" t="s">
        <v>216</v>
      </c>
      <c r="B20" s="4" t="s">
        <v>908</v>
      </c>
      <c r="C20" s="4" t="s">
        <v>942</v>
      </c>
      <c r="D20" s="4" t="s">
        <v>943</v>
      </c>
      <c r="E20" s="4" t="s">
        <v>944</v>
      </c>
    </row>
    <row r="21" spans="1:5">
      <c r="A21" s="4" t="s">
        <v>216</v>
      </c>
      <c r="B21" s="4" t="s">
        <v>912</v>
      </c>
      <c r="C21" s="4" t="s">
        <v>945</v>
      </c>
      <c r="D21" s="4" t="s">
        <v>946</v>
      </c>
      <c r="E21" s="4" t="s">
        <v>947</v>
      </c>
    </row>
    <row r="22" spans="1:5">
      <c r="A22" s="4" t="s">
        <v>157</v>
      </c>
      <c r="B22" s="4" t="s">
        <v>892</v>
      </c>
      <c r="C22" s="4" t="s">
        <v>893</v>
      </c>
      <c r="D22" s="4" t="s">
        <v>948</v>
      </c>
      <c r="E22" s="4" t="s">
        <v>949</v>
      </c>
    </row>
    <row r="23" spans="1:5">
      <c r="A23" s="4" t="s">
        <v>157</v>
      </c>
      <c r="B23" s="4" t="s">
        <v>896</v>
      </c>
      <c r="C23" s="4" t="s">
        <v>897</v>
      </c>
      <c r="D23" s="4" t="s">
        <v>950</v>
      </c>
      <c r="E23" s="4" t="s">
        <v>951</v>
      </c>
    </row>
    <row r="24" spans="1:5">
      <c r="A24" s="4" t="s">
        <v>157</v>
      </c>
      <c r="B24" s="4" t="s">
        <v>900</v>
      </c>
      <c r="C24" s="4" t="s">
        <v>905</v>
      </c>
      <c r="D24" s="4" t="s">
        <v>172</v>
      </c>
      <c r="E24" s="4" t="s">
        <v>952</v>
      </c>
    </row>
    <row r="25" spans="1:5">
      <c r="A25" s="4" t="s">
        <v>157</v>
      </c>
      <c r="B25" s="4" t="s">
        <v>904</v>
      </c>
      <c r="C25" s="4" t="s">
        <v>909</v>
      </c>
      <c r="D25" s="4" t="s">
        <v>953</v>
      </c>
      <c r="E25" s="4" t="s">
        <v>954</v>
      </c>
    </row>
    <row r="26" spans="1:5">
      <c r="A26" s="4" t="s">
        <v>231</v>
      </c>
      <c r="B26" s="4" t="s">
        <v>892</v>
      </c>
      <c r="C26" s="4" t="s">
        <v>893</v>
      </c>
      <c r="D26" s="4" t="s">
        <v>230</v>
      </c>
      <c r="E26" s="4" t="s">
        <v>955</v>
      </c>
    </row>
    <row r="27" spans="1:5">
      <c r="A27" s="4" t="s">
        <v>231</v>
      </c>
      <c r="B27" s="4" t="s">
        <v>896</v>
      </c>
      <c r="C27" s="4" t="s">
        <v>897</v>
      </c>
      <c r="D27" s="4" t="s">
        <v>956</v>
      </c>
      <c r="E27" s="4" t="s">
        <v>957</v>
      </c>
    </row>
    <row r="28" spans="1:5">
      <c r="A28" s="4" t="s">
        <v>231</v>
      </c>
      <c r="B28" s="4" t="s">
        <v>900</v>
      </c>
      <c r="C28" s="4" t="s">
        <v>905</v>
      </c>
      <c r="D28" s="4" t="s">
        <v>958</v>
      </c>
      <c r="E28" s="4" t="s">
        <v>959</v>
      </c>
    </row>
    <row r="29" spans="1:5">
      <c r="A29" s="4" t="s">
        <v>231</v>
      </c>
      <c r="B29" s="4" t="s">
        <v>904</v>
      </c>
      <c r="C29" s="4" t="s">
        <v>909</v>
      </c>
      <c r="D29" s="4" t="s">
        <v>960</v>
      </c>
      <c r="E29" s="4" t="s">
        <v>961</v>
      </c>
    </row>
    <row r="30" spans="1:5">
      <c r="A30" s="4" t="s">
        <v>250</v>
      </c>
      <c r="B30" s="4" t="s">
        <v>962</v>
      </c>
      <c r="C30" s="4" t="s">
        <v>962</v>
      </c>
      <c r="D30" s="4" t="s">
        <v>963</v>
      </c>
      <c r="E30" s="4" t="s">
        <v>964</v>
      </c>
    </row>
    <row r="31" spans="1:5">
      <c r="A31" s="4" t="s">
        <v>250</v>
      </c>
      <c r="B31" s="4" t="s">
        <v>965</v>
      </c>
      <c r="C31" s="4" t="s">
        <v>965</v>
      </c>
      <c r="D31" s="4" t="s">
        <v>966</v>
      </c>
      <c r="E31" s="4" t="s">
        <v>967</v>
      </c>
    </row>
    <row r="32" spans="1:5">
      <c r="A32" s="4" t="s">
        <v>250</v>
      </c>
      <c r="B32" s="4" t="s">
        <v>893</v>
      </c>
      <c r="C32" s="4" t="s">
        <v>893</v>
      </c>
      <c r="D32" s="4" t="s">
        <v>968</v>
      </c>
      <c r="E32" s="4" t="s">
        <v>969</v>
      </c>
    </row>
    <row r="33" spans="1:5">
      <c r="A33" s="4" t="s">
        <v>282</v>
      </c>
      <c r="B33" s="4" t="s">
        <v>892</v>
      </c>
      <c r="C33" s="4" t="s">
        <v>893</v>
      </c>
      <c r="D33" s="4" t="s">
        <v>970</v>
      </c>
      <c r="E33" s="4" t="s">
        <v>280</v>
      </c>
    </row>
    <row r="34" spans="1:5">
      <c r="A34" s="4" t="s">
        <v>282</v>
      </c>
      <c r="B34" s="4" t="s">
        <v>896</v>
      </c>
      <c r="C34" s="4" t="s">
        <v>897</v>
      </c>
      <c r="D34" s="4" t="s">
        <v>971</v>
      </c>
      <c r="E34" s="4" t="s">
        <v>281</v>
      </c>
    </row>
    <row r="35" spans="1:5">
      <c r="A35" s="4" t="s">
        <v>282</v>
      </c>
      <c r="B35" s="4" t="s">
        <v>900</v>
      </c>
      <c r="C35" s="4" t="s">
        <v>905</v>
      </c>
      <c r="D35" s="4" t="s">
        <v>972</v>
      </c>
      <c r="E35" s="4" t="s">
        <v>973</v>
      </c>
    </row>
    <row r="36" spans="1:5">
      <c r="A36" s="4" t="s">
        <v>282</v>
      </c>
      <c r="B36" s="4" t="s">
        <v>904</v>
      </c>
      <c r="C36" s="4" t="s">
        <v>909</v>
      </c>
      <c r="D36" s="4" t="s">
        <v>974</v>
      </c>
      <c r="E36" s="4" t="s">
        <v>975</v>
      </c>
    </row>
    <row r="37" spans="1:5">
      <c r="A37" s="4" t="s">
        <v>282</v>
      </c>
      <c r="B37" s="4" t="s">
        <v>908</v>
      </c>
      <c r="C37" s="4" t="s">
        <v>976</v>
      </c>
      <c r="D37" s="4" t="s">
        <v>977</v>
      </c>
      <c r="E37" s="4" t="s">
        <v>931</v>
      </c>
    </row>
    <row r="38" spans="1:5">
      <c r="A38" s="4" t="s">
        <v>499</v>
      </c>
      <c r="B38" s="4" t="s">
        <v>892</v>
      </c>
      <c r="C38" s="4" t="s">
        <v>893</v>
      </c>
      <c r="D38" s="4" t="s">
        <v>602</v>
      </c>
      <c r="E38" s="4" t="s">
        <v>978</v>
      </c>
    </row>
    <row r="39" spans="1:5">
      <c r="A39" s="4" t="s">
        <v>499</v>
      </c>
      <c r="B39" s="4" t="s">
        <v>896</v>
      </c>
      <c r="C39" s="4" t="s">
        <v>897</v>
      </c>
      <c r="D39" s="4" t="s">
        <v>979</v>
      </c>
      <c r="E39" s="4" t="s">
        <v>980</v>
      </c>
    </row>
    <row r="40" spans="1:5">
      <c r="A40" s="4" t="s">
        <v>499</v>
      </c>
      <c r="B40" s="4" t="s">
        <v>900</v>
      </c>
      <c r="C40" s="4" t="s">
        <v>905</v>
      </c>
      <c r="D40" s="4" t="s">
        <v>981</v>
      </c>
      <c r="E40" s="4" t="s">
        <v>982</v>
      </c>
    </row>
    <row r="41" spans="1:5">
      <c r="A41" s="4" t="s">
        <v>499</v>
      </c>
      <c r="B41" s="4" t="s">
        <v>904</v>
      </c>
      <c r="C41" s="4" t="s">
        <v>909</v>
      </c>
      <c r="D41" s="4" t="s">
        <v>940</v>
      </c>
      <c r="E41" s="4" t="s">
        <v>983</v>
      </c>
    </row>
    <row r="42" spans="1:5">
      <c r="A42" s="4" t="s">
        <v>610</v>
      </c>
      <c r="B42" s="4" t="s">
        <v>892</v>
      </c>
      <c r="C42" s="4" t="s">
        <v>893</v>
      </c>
      <c r="D42" s="4" t="s">
        <v>984</v>
      </c>
      <c r="E42" s="4" t="s">
        <v>985</v>
      </c>
    </row>
    <row r="43" spans="1:5">
      <c r="A43" s="4" t="s">
        <v>610</v>
      </c>
      <c r="B43" s="4" t="s">
        <v>896</v>
      </c>
      <c r="C43" s="4" t="s">
        <v>897</v>
      </c>
      <c r="D43" s="4" t="s">
        <v>986</v>
      </c>
      <c r="E43" s="4" t="s">
        <v>987</v>
      </c>
    </row>
    <row r="44" spans="1:5">
      <c r="A44" s="4" t="s">
        <v>610</v>
      </c>
      <c r="B44" s="4" t="s">
        <v>900</v>
      </c>
      <c r="C44" s="4" t="s">
        <v>905</v>
      </c>
      <c r="D44" s="4" t="s">
        <v>988</v>
      </c>
      <c r="E44" s="4" t="s">
        <v>989</v>
      </c>
    </row>
    <row r="45" spans="1:5">
      <c r="A45" s="4" t="s">
        <v>610</v>
      </c>
      <c r="B45" s="4" t="s">
        <v>904</v>
      </c>
      <c r="C45" s="4" t="s">
        <v>909</v>
      </c>
      <c r="D45" s="4" t="s">
        <v>940</v>
      </c>
      <c r="E45" s="4" t="s">
        <v>990</v>
      </c>
    </row>
    <row r="46" spans="1:5">
      <c r="A46" s="4" t="s">
        <v>380</v>
      </c>
      <c r="B46" s="4" t="s">
        <v>892</v>
      </c>
      <c r="C46" s="4" t="s">
        <v>893</v>
      </c>
      <c r="D46" s="4" t="s">
        <v>991</v>
      </c>
      <c r="E46" s="4" t="s">
        <v>992</v>
      </c>
    </row>
    <row r="47" spans="1:5">
      <c r="A47" s="4" t="s">
        <v>380</v>
      </c>
      <c r="B47" s="4" t="s">
        <v>896</v>
      </c>
      <c r="C47" s="4" t="s">
        <v>901</v>
      </c>
      <c r="D47" s="4" t="s">
        <v>379</v>
      </c>
      <c r="E47" s="4" t="s">
        <v>993</v>
      </c>
    </row>
    <row r="48" spans="1:5">
      <c r="A48" s="4" t="s">
        <v>380</v>
      </c>
      <c r="B48" s="4" t="s">
        <v>900</v>
      </c>
      <c r="C48" s="4" t="s">
        <v>994</v>
      </c>
      <c r="D48" s="4" t="s">
        <v>995</v>
      </c>
      <c r="E48" s="4" t="s">
        <v>996</v>
      </c>
    </row>
    <row r="49" spans="1:5">
      <c r="A49" s="4" t="s">
        <v>380</v>
      </c>
      <c r="B49" s="4" t="s">
        <v>904</v>
      </c>
      <c r="C49" s="4" t="s">
        <v>997</v>
      </c>
      <c r="D49" s="4" t="s">
        <v>998</v>
      </c>
      <c r="E49" s="4" t="s">
        <v>999</v>
      </c>
    </row>
    <row r="50" spans="1:5">
      <c r="A50" s="4" t="s">
        <v>380</v>
      </c>
      <c r="B50" s="4" t="s">
        <v>908</v>
      </c>
      <c r="C50" s="4" t="s">
        <v>976</v>
      </c>
      <c r="D50" s="4" t="s">
        <v>1000</v>
      </c>
      <c r="E50" s="4" t="s">
        <v>915</v>
      </c>
    </row>
    <row r="51" spans="1:5">
      <c r="A51" s="4" t="s">
        <v>389</v>
      </c>
      <c r="B51" s="4" t="s">
        <v>892</v>
      </c>
      <c r="C51" s="4" t="s">
        <v>1001</v>
      </c>
      <c r="D51" s="4" t="s">
        <v>521</v>
      </c>
      <c r="E51" s="4" t="s">
        <v>1002</v>
      </c>
    </row>
    <row r="52" spans="1:5">
      <c r="A52" s="4" t="s">
        <v>389</v>
      </c>
      <c r="B52" s="4" t="s">
        <v>896</v>
      </c>
      <c r="C52" s="4" t="s">
        <v>1003</v>
      </c>
      <c r="D52" s="4" t="s">
        <v>1004</v>
      </c>
      <c r="E52" s="4" t="s">
        <v>1005</v>
      </c>
    </row>
    <row r="53" spans="1:5">
      <c r="A53" s="4" t="s">
        <v>389</v>
      </c>
      <c r="B53" s="4" t="s">
        <v>1006</v>
      </c>
      <c r="C53" s="4" t="s">
        <v>1007</v>
      </c>
      <c r="D53" s="4" t="s">
        <v>1008</v>
      </c>
      <c r="E53" s="4" t="s">
        <v>1009</v>
      </c>
    </row>
    <row r="54" spans="1:5">
      <c r="A54" s="4" t="s">
        <v>195</v>
      </c>
      <c r="B54" s="4" t="s">
        <v>1010</v>
      </c>
      <c r="C54" s="4" t="s">
        <v>877</v>
      </c>
      <c r="D54" s="4" t="s">
        <v>451</v>
      </c>
      <c r="E54" s="4" t="s">
        <v>1011</v>
      </c>
    </row>
    <row r="55" spans="1:5">
      <c r="A55" s="4" t="s">
        <v>735</v>
      </c>
      <c r="B55" s="4" t="s">
        <v>909</v>
      </c>
      <c r="C55" s="4" t="s">
        <v>909</v>
      </c>
      <c r="D55" s="4" t="s">
        <v>1012</v>
      </c>
      <c r="E55" s="4" t="s">
        <v>1013</v>
      </c>
    </row>
    <row r="56" spans="1:5">
      <c r="A56" s="4" t="s">
        <v>735</v>
      </c>
      <c r="B56" s="4" t="s">
        <v>1014</v>
      </c>
      <c r="C56" s="4" t="s">
        <v>1014</v>
      </c>
      <c r="D56" s="4" t="s">
        <v>1015</v>
      </c>
      <c r="E56" s="4" t="s">
        <v>1013</v>
      </c>
    </row>
    <row r="57" spans="1:5">
      <c r="A57" s="4" t="s">
        <v>735</v>
      </c>
      <c r="B57" s="4" t="s">
        <v>1016</v>
      </c>
      <c r="C57" s="4" t="s">
        <v>1016</v>
      </c>
      <c r="D57" s="4" t="s">
        <v>1017</v>
      </c>
      <c r="E57" s="4" t="s">
        <v>1013</v>
      </c>
    </row>
    <row r="58" spans="1:5">
      <c r="A58" s="4" t="s">
        <v>735</v>
      </c>
      <c r="B58" s="4" t="s">
        <v>1018</v>
      </c>
      <c r="C58" s="4" t="s">
        <v>1019</v>
      </c>
      <c r="D58" s="4" t="s">
        <v>1020</v>
      </c>
      <c r="E58" s="4" t="s">
        <v>1013</v>
      </c>
    </row>
    <row r="59" spans="1:5">
      <c r="A59" s="4" t="s">
        <v>735</v>
      </c>
      <c r="B59" s="4" t="s">
        <v>1021</v>
      </c>
      <c r="C59" s="4" t="s">
        <v>1022</v>
      </c>
      <c r="D59" s="4" t="s">
        <v>1023</v>
      </c>
      <c r="E59" s="4" t="s">
        <v>1013</v>
      </c>
    </row>
    <row r="60" spans="1:5">
      <c r="A60" s="4" t="s">
        <v>735</v>
      </c>
      <c r="B60" s="4" t="s">
        <v>1024</v>
      </c>
      <c r="C60" s="4" t="s">
        <v>1025</v>
      </c>
      <c r="D60" s="4" t="s">
        <v>1026</v>
      </c>
      <c r="E60" s="4" t="s">
        <v>1013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0"/>
  <sheetViews>
    <sheetView workbookViewId="0">
      <selection sqref="A1:E1"/>
    </sheetView>
  </sheetViews>
  <sheetFormatPr defaultRowHeight="14"/>
  <cols>
    <col min="1" max="1" width="26" customWidth="1"/>
    <col min="2" max="3" width="20" customWidth="1"/>
    <col min="4" max="4" width="30" customWidth="1"/>
    <col min="5" max="5" width="92" customWidth="1"/>
  </cols>
  <sheetData>
    <row r="1" spans="1:5" ht="23">
      <c r="A1" s="7" t="s">
        <v>1027</v>
      </c>
      <c r="B1" s="8"/>
      <c r="C1" s="8"/>
      <c r="D1" s="8"/>
      <c r="E1" s="8"/>
    </row>
    <row r="2" spans="1:5">
      <c r="A2" s="9" t="s">
        <v>1028</v>
      </c>
      <c r="B2" s="8"/>
      <c r="C2" s="8"/>
      <c r="D2" s="8"/>
      <c r="E2" s="8"/>
    </row>
    <row r="3" spans="1:5" ht="22.65" customHeight="1">
      <c r="A3" s="2" t="s">
        <v>1029</v>
      </c>
      <c r="B3" s="2" t="s">
        <v>1030</v>
      </c>
      <c r="C3" s="2" t="s">
        <v>889</v>
      </c>
      <c r="D3" s="2" t="s">
        <v>4</v>
      </c>
      <c r="E3" s="2" t="s">
        <v>1031</v>
      </c>
    </row>
    <row r="4" spans="1:5" ht="70">
      <c r="A4" s="4" t="s">
        <v>88</v>
      </c>
      <c r="B4" s="4" t="s">
        <v>48</v>
      </c>
      <c r="C4" s="4" t="s">
        <v>1032</v>
      </c>
      <c r="D4" s="4" t="s">
        <v>85</v>
      </c>
      <c r="E4" s="4" t="s">
        <v>1033</v>
      </c>
    </row>
    <row r="5" spans="1:5" ht="42">
      <c r="A5" s="4" t="s">
        <v>1034</v>
      </c>
      <c r="B5" s="4" t="s">
        <v>48</v>
      </c>
      <c r="C5" s="4" t="s">
        <v>1035</v>
      </c>
      <c r="D5" s="4" t="s">
        <v>1036</v>
      </c>
      <c r="E5" s="4" t="s">
        <v>1037</v>
      </c>
    </row>
    <row r="6" spans="1:5" ht="42">
      <c r="A6" s="4" t="s">
        <v>1038</v>
      </c>
      <c r="B6" s="4" t="s">
        <v>48</v>
      </c>
      <c r="C6" s="4" t="s">
        <v>1039</v>
      </c>
      <c r="D6" s="4" t="s">
        <v>899</v>
      </c>
      <c r="E6" s="4" t="s">
        <v>1040</v>
      </c>
    </row>
    <row r="7" spans="1:5" ht="42">
      <c r="A7" s="4" t="s">
        <v>1041</v>
      </c>
      <c r="B7" s="4" t="s">
        <v>48</v>
      </c>
      <c r="C7" s="4" t="s">
        <v>1042</v>
      </c>
      <c r="D7" s="4" t="s">
        <v>925</v>
      </c>
      <c r="E7" s="4" t="s">
        <v>1043</v>
      </c>
    </row>
    <row r="8" spans="1:5" ht="42">
      <c r="A8" s="4" t="s">
        <v>1044</v>
      </c>
      <c r="B8" s="4" t="s">
        <v>48</v>
      </c>
      <c r="C8" s="4" t="s">
        <v>1045</v>
      </c>
      <c r="D8" s="4" t="s">
        <v>1046</v>
      </c>
      <c r="E8" s="4" t="s">
        <v>1047</v>
      </c>
    </row>
    <row r="9" spans="1:5" ht="42">
      <c r="A9" s="4" t="s">
        <v>1048</v>
      </c>
      <c r="B9" s="4" t="s">
        <v>48</v>
      </c>
      <c r="C9" s="4" t="s">
        <v>1049</v>
      </c>
      <c r="D9" s="4" t="s">
        <v>1050</v>
      </c>
      <c r="E9" s="4" t="s">
        <v>1051</v>
      </c>
    </row>
    <row r="10" spans="1:5" ht="84">
      <c r="A10" s="4" t="s">
        <v>438</v>
      </c>
      <c r="B10" s="4" t="s">
        <v>54</v>
      </c>
      <c r="C10" s="4" t="s">
        <v>1052</v>
      </c>
      <c r="D10" s="4" t="s">
        <v>1053</v>
      </c>
      <c r="E10" s="4" t="s">
        <v>1054</v>
      </c>
    </row>
    <row r="11" spans="1:5" ht="70">
      <c r="A11" s="4" t="s">
        <v>445</v>
      </c>
      <c r="B11" s="4" t="s">
        <v>54</v>
      </c>
      <c r="C11" s="4" t="s">
        <v>1052</v>
      </c>
      <c r="D11" s="4" t="s">
        <v>1055</v>
      </c>
      <c r="E11" s="4" t="s">
        <v>1056</v>
      </c>
    </row>
    <row r="12" spans="1:5" ht="84">
      <c r="A12" s="4" t="s">
        <v>453</v>
      </c>
      <c r="B12" s="4" t="s">
        <v>54</v>
      </c>
      <c r="C12" s="4" t="s">
        <v>1032</v>
      </c>
      <c r="D12" s="4" t="s">
        <v>1057</v>
      </c>
      <c r="E12" s="4" t="s">
        <v>1058</v>
      </c>
    </row>
    <row r="13" spans="1:5" ht="42">
      <c r="A13" s="4" t="s">
        <v>1059</v>
      </c>
      <c r="B13" s="4" t="s">
        <v>54</v>
      </c>
      <c r="C13" s="4" t="s">
        <v>1035</v>
      </c>
      <c r="D13" s="4" t="s">
        <v>1060</v>
      </c>
      <c r="E13" s="4" t="s">
        <v>1061</v>
      </c>
    </row>
    <row r="14" spans="1:5">
      <c r="A14" s="4" t="s">
        <v>1062</v>
      </c>
      <c r="B14" s="4" t="s">
        <v>54</v>
      </c>
      <c r="C14" s="4" t="s">
        <v>1039</v>
      </c>
      <c r="D14" s="4" t="s">
        <v>1063</v>
      </c>
      <c r="E14" s="4" t="s">
        <v>1064</v>
      </c>
    </row>
    <row r="15" spans="1:5" ht="42">
      <c r="A15" s="4" t="s">
        <v>1065</v>
      </c>
      <c r="B15" s="4" t="s">
        <v>54</v>
      </c>
      <c r="C15" s="4" t="s">
        <v>1042</v>
      </c>
      <c r="D15" s="4" t="s">
        <v>1066</v>
      </c>
      <c r="E15" s="4" t="s">
        <v>1067</v>
      </c>
    </row>
    <row r="16" spans="1:5" ht="42">
      <c r="A16" s="4" t="s">
        <v>1068</v>
      </c>
      <c r="B16" s="4" t="s">
        <v>54</v>
      </c>
      <c r="C16" s="4" t="s">
        <v>1045</v>
      </c>
      <c r="D16" s="4" t="s">
        <v>1069</v>
      </c>
      <c r="E16" s="4" t="s">
        <v>1070</v>
      </c>
    </row>
    <row r="17" spans="1:5" ht="42">
      <c r="A17" s="4" t="s">
        <v>1071</v>
      </c>
      <c r="B17" s="4" t="s">
        <v>54</v>
      </c>
      <c r="C17" s="4" t="s">
        <v>1049</v>
      </c>
      <c r="D17" s="4" t="s">
        <v>1072</v>
      </c>
      <c r="E17" s="4" t="s">
        <v>1073</v>
      </c>
    </row>
    <row r="18" spans="1:5">
      <c r="A18" s="4" t="s">
        <v>113</v>
      </c>
      <c r="B18" s="4" t="s">
        <v>29</v>
      </c>
      <c r="C18" s="4" t="s">
        <v>1074</v>
      </c>
      <c r="D18" s="4" t="s">
        <v>155</v>
      </c>
      <c r="E18" s="4" t="s">
        <v>1075</v>
      </c>
    </row>
    <row r="19" spans="1:5">
      <c r="A19" s="4" t="s">
        <v>165</v>
      </c>
      <c r="B19" s="4" t="s">
        <v>29</v>
      </c>
      <c r="C19" s="4" t="s">
        <v>1076</v>
      </c>
      <c r="D19" s="4" t="s">
        <v>1077</v>
      </c>
      <c r="E19" s="4" t="s">
        <v>1078</v>
      </c>
    </row>
    <row r="20" spans="1:5" ht="42">
      <c r="A20" s="4" t="s">
        <v>174</v>
      </c>
      <c r="B20" s="4" t="s">
        <v>29</v>
      </c>
      <c r="C20" s="4" t="s">
        <v>1079</v>
      </c>
      <c r="D20" s="4" t="s">
        <v>172</v>
      </c>
      <c r="E20" s="4" t="s">
        <v>1080</v>
      </c>
    </row>
    <row r="21" spans="1:5" ht="42">
      <c r="A21" s="4" t="s">
        <v>1081</v>
      </c>
      <c r="B21" s="4" t="s">
        <v>29</v>
      </c>
      <c r="C21" s="4" t="s">
        <v>1082</v>
      </c>
      <c r="D21" s="4" t="s">
        <v>953</v>
      </c>
      <c r="E21" s="4" t="s">
        <v>1083</v>
      </c>
    </row>
    <row r="22" spans="1:5" ht="42">
      <c r="A22" s="4" t="s">
        <v>185</v>
      </c>
      <c r="B22" s="4" t="s">
        <v>33</v>
      </c>
      <c r="C22" s="4" t="s">
        <v>1032</v>
      </c>
      <c r="D22" s="4" t="s">
        <v>183</v>
      </c>
      <c r="E22" s="4" t="s">
        <v>1084</v>
      </c>
    </row>
    <row r="23" spans="1:5" ht="42">
      <c r="A23" s="4" t="s">
        <v>1085</v>
      </c>
      <c r="B23" s="4" t="s">
        <v>33</v>
      </c>
      <c r="C23" s="4" t="s">
        <v>1035</v>
      </c>
      <c r="D23" s="4" t="s">
        <v>1086</v>
      </c>
      <c r="E23" s="4" t="s">
        <v>1087</v>
      </c>
    </row>
    <row r="24" spans="1:5" ht="42">
      <c r="A24" s="4" t="s">
        <v>1088</v>
      </c>
      <c r="B24" s="4" t="s">
        <v>33</v>
      </c>
      <c r="C24" s="4" t="s">
        <v>1039</v>
      </c>
      <c r="D24" s="4" t="s">
        <v>922</v>
      </c>
      <c r="E24" s="4" t="s">
        <v>1089</v>
      </c>
    </row>
    <row r="25" spans="1:5">
      <c r="A25" s="4" t="s">
        <v>1090</v>
      </c>
      <c r="B25" s="4" t="s">
        <v>33</v>
      </c>
      <c r="C25" s="4" t="s">
        <v>1042</v>
      </c>
      <c r="D25" s="4" t="s">
        <v>1091</v>
      </c>
      <c r="E25" s="4" t="s">
        <v>1092</v>
      </c>
    </row>
    <row r="26" spans="1:5" ht="42">
      <c r="A26" s="4" t="s">
        <v>1093</v>
      </c>
      <c r="B26" s="4" t="s">
        <v>33</v>
      </c>
      <c r="C26" s="4" t="s">
        <v>1045</v>
      </c>
      <c r="D26" s="4" t="s">
        <v>974</v>
      </c>
      <c r="E26" s="4" t="s">
        <v>1094</v>
      </c>
    </row>
    <row r="27" spans="1:5" ht="42">
      <c r="A27" s="4" t="s">
        <v>1095</v>
      </c>
      <c r="B27" s="4" t="s">
        <v>33</v>
      </c>
      <c r="C27" s="4" t="s">
        <v>1049</v>
      </c>
      <c r="D27" s="4" t="s">
        <v>977</v>
      </c>
      <c r="E27" s="4" t="s">
        <v>1096</v>
      </c>
    </row>
    <row r="28" spans="1:5" ht="28">
      <c r="A28" s="4" t="s">
        <v>232</v>
      </c>
      <c r="B28" s="4" t="s">
        <v>33</v>
      </c>
      <c r="C28" s="4" t="s">
        <v>1097</v>
      </c>
      <c r="D28" s="4" t="s">
        <v>1098</v>
      </c>
      <c r="E28" s="4" t="s">
        <v>1099</v>
      </c>
    </row>
    <row r="29" spans="1:5" ht="42">
      <c r="A29" s="4" t="s">
        <v>241</v>
      </c>
      <c r="B29" s="4" t="s">
        <v>1082</v>
      </c>
      <c r="C29" s="4" t="s">
        <v>962</v>
      </c>
      <c r="D29" s="4" t="s">
        <v>963</v>
      </c>
      <c r="E29" s="4" t="s">
        <v>1100</v>
      </c>
    </row>
    <row r="30" spans="1:5" ht="42">
      <c r="A30" s="4" t="s">
        <v>251</v>
      </c>
      <c r="B30" s="4" t="s">
        <v>1082</v>
      </c>
      <c r="C30" s="4" t="s">
        <v>965</v>
      </c>
      <c r="D30" s="4" t="s">
        <v>966</v>
      </c>
      <c r="E30" s="4" t="s">
        <v>1101</v>
      </c>
    </row>
    <row r="31" spans="1:5" ht="42">
      <c r="A31" s="4" t="s">
        <v>262</v>
      </c>
      <c r="B31" s="4" t="s">
        <v>1082</v>
      </c>
      <c r="C31" s="4" t="s">
        <v>893</v>
      </c>
      <c r="D31" s="4" t="s">
        <v>968</v>
      </c>
      <c r="E31" s="4" t="s">
        <v>1102</v>
      </c>
    </row>
    <row r="32" spans="1:5" ht="42">
      <c r="A32" s="4" t="s">
        <v>272</v>
      </c>
      <c r="B32" s="4" t="s">
        <v>33</v>
      </c>
      <c r="C32" s="4" t="s">
        <v>893</v>
      </c>
      <c r="D32" s="4" t="s">
        <v>1103</v>
      </c>
      <c r="E32" s="4" t="s">
        <v>1104</v>
      </c>
    </row>
    <row r="33" spans="1:5" ht="42">
      <c r="A33" s="4" t="s">
        <v>283</v>
      </c>
      <c r="B33" s="4" t="s">
        <v>1105</v>
      </c>
      <c r="C33" s="4" t="s">
        <v>1032</v>
      </c>
      <c r="D33" s="4" t="s">
        <v>290</v>
      </c>
      <c r="E33" s="4" t="s">
        <v>1106</v>
      </c>
    </row>
    <row r="34" spans="1:5" ht="42">
      <c r="A34" s="4" t="s">
        <v>1107</v>
      </c>
      <c r="B34" s="4" t="s">
        <v>1105</v>
      </c>
      <c r="C34" s="4" t="s">
        <v>1035</v>
      </c>
      <c r="D34" s="4" t="s">
        <v>281</v>
      </c>
      <c r="E34" s="4" t="s">
        <v>1108</v>
      </c>
    </row>
    <row r="35" spans="1:5" ht="28">
      <c r="A35" s="4" t="s">
        <v>1109</v>
      </c>
      <c r="B35" s="4" t="s">
        <v>1105</v>
      </c>
      <c r="C35" s="4" t="s">
        <v>1039</v>
      </c>
      <c r="D35" s="4" t="s">
        <v>972</v>
      </c>
      <c r="E35" s="4" t="s">
        <v>1110</v>
      </c>
    </row>
    <row r="36" spans="1:5" ht="42">
      <c r="A36" s="4" t="s">
        <v>1111</v>
      </c>
      <c r="B36" s="4" t="s">
        <v>1105</v>
      </c>
      <c r="C36" s="4" t="s">
        <v>1042</v>
      </c>
      <c r="D36" s="4" t="s">
        <v>1112</v>
      </c>
      <c r="E36" s="4" t="s">
        <v>1113</v>
      </c>
    </row>
    <row r="37" spans="1:5" ht="42">
      <c r="A37" s="4" t="s">
        <v>1114</v>
      </c>
      <c r="B37" s="4" t="s">
        <v>1105</v>
      </c>
      <c r="C37" s="4" t="s">
        <v>1045</v>
      </c>
      <c r="D37" s="4" t="s">
        <v>977</v>
      </c>
      <c r="E37" s="4" t="s">
        <v>1115</v>
      </c>
    </row>
    <row r="38" spans="1:5" ht="56">
      <c r="A38" s="4" t="s">
        <v>300</v>
      </c>
      <c r="B38" s="4" t="s">
        <v>1116</v>
      </c>
      <c r="C38" s="4" t="s">
        <v>1052</v>
      </c>
      <c r="D38" s="4" t="s">
        <v>1117</v>
      </c>
      <c r="E38" s="4" t="s">
        <v>1118</v>
      </c>
    </row>
    <row r="39" spans="1:5" ht="42">
      <c r="A39" s="4" t="s">
        <v>308</v>
      </c>
      <c r="B39" s="4" t="s">
        <v>1119</v>
      </c>
      <c r="C39" s="4" t="s">
        <v>1120</v>
      </c>
      <c r="D39" s="4" t="s">
        <v>1121</v>
      </c>
      <c r="E39" s="4" t="s">
        <v>1122</v>
      </c>
    </row>
    <row r="40" spans="1:5" ht="42">
      <c r="A40" s="4" t="s">
        <v>316</v>
      </c>
      <c r="B40" s="4" t="s">
        <v>1119</v>
      </c>
      <c r="C40" s="4" t="s">
        <v>1032</v>
      </c>
      <c r="D40" s="4" t="s">
        <v>324</v>
      </c>
      <c r="E40" s="4" t="s">
        <v>1123</v>
      </c>
    </row>
    <row r="41" spans="1:5">
      <c r="A41" s="4" t="s">
        <v>1124</v>
      </c>
      <c r="B41" s="4" t="s">
        <v>1119</v>
      </c>
      <c r="C41" s="4" t="s">
        <v>1035</v>
      </c>
      <c r="D41" s="4" t="s">
        <v>1125</v>
      </c>
      <c r="E41" s="4" t="s">
        <v>1126</v>
      </c>
    </row>
    <row r="42" spans="1:5" ht="42">
      <c r="A42" s="4" t="s">
        <v>1127</v>
      </c>
      <c r="B42" s="4" t="s">
        <v>1119</v>
      </c>
      <c r="C42" s="4" t="s">
        <v>1039</v>
      </c>
      <c r="D42" s="4" t="s">
        <v>1128</v>
      </c>
      <c r="E42" s="4" t="s">
        <v>1129</v>
      </c>
    </row>
    <row r="43" spans="1:5">
      <c r="A43" s="4" t="s">
        <v>1130</v>
      </c>
      <c r="B43" s="4" t="s">
        <v>1119</v>
      </c>
      <c r="C43" s="4" t="s">
        <v>1042</v>
      </c>
      <c r="D43" s="4" t="s">
        <v>1131</v>
      </c>
      <c r="E43" s="4" t="s">
        <v>1132</v>
      </c>
    </row>
    <row r="44" spans="1:5" ht="42">
      <c r="A44" s="4" t="s">
        <v>1133</v>
      </c>
      <c r="B44" s="4" t="s">
        <v>1119</v>
      </c>
      <c r="C44" s="4" t="s">
        <v>1045</v>
      </c>
      <c r="D44" s="4" t="s">
        <v>315</v>
      </c>
      <c r="E44" s="4" t="s">
        <v>1134</v>
      </c>
    </row>
    <row r="45" spans="1:5" ht="42">
      <c r="A45" s="4" t="s">
        <v>1135</v>
      </c>
      <c r="B45" s="4" t="s">
        <v>1119</v>
      </c>
      <c r="C45" s="4" t="s">
        <v>1049</v>
      </c>
      <c r="D45" s="4" t="s">
        <v>946</v>
      </c>
      <c r="E45" s="4" t="s">
        <v>1136</v>
      </c>
    </row>
    <row r="46" spans="1:5" ht="42">
      <c r="A46" s="4" t="s">
        <v>340</v>
      </c>
      <c r="B46" s="4" t="s">
        <v>1137</v>
      </c>
      <c r="C46" s="4" t="s">
        <v>1138</v>
      </c>
      <c r="D46" s="4" t="s">
        <v>1139</v>
      </c>
      <c r="E46" s="4" t="s">
        <v>1140</v>
      </c>
    </row>
    <row r="47" spans="1:5">
      <c r="A47" s="4" t="s">
        <v>348</v>
      </c>
      <c r="B47" s="4" t="s">
        <v>1137</v>
      </c>
      <c r="C47" s="4" t="s">
        <v>1141</v>
      </c>
      <c r="D47" s="4" t="s">
        <v>347</v>
      </c>
      <c r="E47" s="4" t="s">
        <v>1142</v>
      </c>
    </row>
    <row r="48" spans="1:5" ht="28">
      <c r="A48" s="4" t="s">
        <v>356</v>
      </c>
      <c r="B48" s="4" t="s">
        <v>1137</v>
      </c>
      <c r="C48" s="4" t="s">
        <v>1143</v>
      </c>
      <c r="D48" s="4" t="s">
        <v>1144</v>
      </c>
      <c r="E48" s="4" t="s">
        <v>1145</v>
      </c>
    </row>
    <row r="49" spans="1:5" ht="28">
      <c r="A49" s="4" t="s">
        <v>364</v>
      </c>
      <c r="B49" s="4" t="s">
        <v>1146</v>
      </c>
      <c r="C49" s="4" t="s">
        <v>1147</v>
      </c>
      <c r="D49" s="4" t="s">
        <v>362</v>
      </c>
      <c r="E49" s="4" t="s">
        <v>1148</v>
      </c>
    </row>
    <row r="50" spans="1:5" ht="70">
      <c r="A50" s="4" t="s">
        <v>371</v>
      </c>
      <c r="B50" s="4" t="s">
        <v>1149</v>
      </c>
      <c r="C50" s="4" t="s">
        <v>1150</v>
      </c>
      <c r="D50" s="4" t="s">
        <v>1151</v>
      </c>
      <c r="E50" s="4" t="s">
        <v>1152</v>
      </c>
    </row>
    <row r="51" spans="1:5" ht="56">
      <c r="A51" s="4" t="s">
        <v>381</v>
      </c>
      <c r="B51" s="4" t="s">
        <v>1153</v>
      </c>
      <c r="C51" s="4" t="s">
        <v>378</v>
      </c>
      <c r="D51" s="4" t="s">
        <v>379</v>
      </c>
      <c r="E51" s="4" t="s">
        <v>1154</v>
      </c>
    </row>
    <row r="52" spans="1:5" ht="126">
      <c r="A52" s="4" t="s">
        <v>500</v>
      </c>
      <c r="B52" s="4" t="s">
        <v>31</v>
      </c>
      <c r="C52" s="4" t="s">
        <v>1155</v>
      </c>
      <c r="D52" s="4" t="s">
        <v>1156</v>
      </c>
      <c r="E52" s="4" t="s">
        <v>1157</v>
      </c>
    </row>
    <row r="53" spans="1:5" ht="42">
      <c r="A53" s="4" t="s">
        <v>1158</v>
      </c>
      <c r="B53" s="4" t="s">
        <v>31</v>
      </c>
      <c r="C53" s="4" t="s">
        <v>1159</v>
      </c>
      <c r="D53" s="4" t="s">
        <v>979</v>
      </c>
      <c r="E53" s="4" t="s">
        <v>1160</v>
      </c>
    </row>
    <row r="54" spans="1:5" ht="42">
      <c r="A54" s="4" t="s">
        <v>1161</v>
      </c>
      <c r="B54" s="4" t="s">
        <v>31</v>
      </c>
      <c r="C54" s="4" t="s">
        <v>1162</v>
      </c>
      <c r="D54" s="4" t="s">
        <v>1163</v>
      </c>
      <c r="E54" s="4" t="s">
        <v>1164</v>
      </c>
    </row>
    <row r="55" spans="1:5" ht="42">
      <c r="A55" s="4" t="s">
        <v>1165</v>
      </c>
      <c r="B55" s="4" t="s">
        <v>31</v>
      </c>
      <c r="C55" s="4" t="s">
        <v>1166</v>
      </c>
      <c r="D55" s="4" t="s">
        <v>1167</v>
      </c>
      <c r="E55" s="4" t="s">
        <v>1168</v>
      </c>
    </row>
    <row r="56" spans="1:5" ht="56">
      <c r="A56" s="4" t="s">
        <v>529</v>
      </c>
      <c r="B56" s="4" t="s">
        <v>31</v>
      </c>
      <c r="C56" s="4" t="s">
        <v>1169</v>
      </c>
      <c r="D56" s="4" t="s">
        <v>536</v>
      </c>
      <c r="E56" s="4" t="s">
        <v>1170</v>
      </c>
    </row>
    <row r="57" spans="1:5" ht="42">
      <c r="A57" s="4" t="s">
        <v>544</v>
      </c>
      <c r="B57" s="4" t="s">
        <v>31</v>
      </c>
      <c r="C57" s="4" t="s">
        <v>1171</v>
      </c>
      <c r="D57" s="4" t="s">
        <v>1172</v>
      </c>
      <c r="E57" s="4" t="s">
        <v>1173</v>
      </c>
    </row>
    <row r="58" spans="1:5" ht="42">
      <c r="A58" s="4" t="s">
        <v>563</v>
      </c>
      <c r="B58" s="4" t="s">
        <v>31</v>
      </c>
      <c r="C58" s="4" t="s">
        <v>1174</v>
      </c>
      <c r="D58" s="4" t="s">
        <v>561</v>
      </c>
      <c r="E58" s="4" t="s">
        <v>1175</v>
      </c>
    </row>
    <row r="59" spans="1:5">
      <c r="A59" s="4" t="s">
        <v>570</v>
      </c>
      <c r="B59" s="4" t="s">
        <v>26</v>
      </c>
      <c r="C59" s="4" t="s">
        <v>1176</v>
      </c>
      <c r="D59" s="4" t="s">
        <v>1177</v>
      </c>
      <c r="E59" s="4" t="s">
        <v>1178</v>
      </c>
    </row>
    <row r="60" spans="1:5" ht="42">
      <c r="A60" s="4" t="s">
        <v>578</v>
      </c>
      <c r="B60" s="4" t="s">
        <v>26</v>
      </c>
      <c r="C60" s="4" t="s">
        <v>1179</v>
      </c>
      <c r="D60" s="4" t="s">
        <v>576</v>
      </c>
      <c r="E60" s="4" t="s">
        <v>1180</v>
      </c>
    </row>
    <row r="61" spans="1:5" ht="70">
      <c r="A61" s="4" t="s">
        <v>586</v>
      </c>
      <c r="B61" s="4" t="s">
        <v>26</v>
      </c>
      <c r="C61" s="4" t="s">
        <v>1181</v>
      </c>
      <c r="D61" s="4" t="s">
        <v>1182</v>
      </c>
      <c r="E61" s="4" t="s">
        <v>1183</v>
      </c>
    </row>
    <row r="62" spans="1:5" ht="42">
      <c r="A62" s="4" t="s">
        <v>611</v>
      </c>
      <c r="B62" s="4" t="s">
        <v>26</v>
      </c>
      <c r="C62" s="4" t="s">
        <v>1184</v>
      </c>
      <c r="D62" s="4" t="s">
        <v>608</v>
      </c>
      <c r="E62" s="4" t="s">
        <v>1185</v>
      </c>
    </row>
    <row r="63" spans="1:5" ht="42">
      <c r="A63" s="4" t="s">
        <v>1186</v>
      </c>
      <c r="B63" s="4" t="s">
        <v>26</v>
      </c>
      <c r="C63" s="4" t="s">
        <v>1187</v>
      </c>
      <c r="D63" s="4" t="s">
        <v>1188</v>
      </c>
      <c r="E63" s="4" t="s">
        <v>1189</v>
      </c>
    </row>
    <row r="64" spans="1:5" ht="42">
      <c r="A64" s="4" t="s">
        <v>1190</v>
      </c>
      <c r="B64" s="4" t="s">
        <v>26</v>
      </c>
      <c r="C64" s="4" t="s">
        <v>1191</v>
      </c>
      <c r="D64" s="4" t="s">
        <v>1192</v>
      </c>
      <c r="E64" s="4" t="s">
        <v>1193</v>
      </c>
    </row>
    <row r="65" spans="1:5" ht="42">
      <c r="A65" s="4" t="s">
        <v>1194</v>
      </c>
      <c r="B65" s="4" t="s">
        <v>26</v>
      </c>
      <c r="C65" s="4" t="s">
        <v>1195</v>
      </c>
      <c r="D65" s="4" t="s">
        <v>1131</v>
      </c>
      <c r="E65" s="4" t="s">
        <v>1196</v>
      </c>
    </row>
    <row r="66" spans="1:5" ht="42">
      <c r="A66" s="4" t="s">
        <v>619</v>
      </c>
      <c r="B66" s="4" t="s">
        <v>26</v>
      </c>
      <c r="C66" s="4" t="s">
        <v>1197</v>
      </c>
      <c r="D66" s="4" t="s">
        <v>618</v>
      </c>
      <c r="E66" s="4" t="s">
        <v>1198</v>
      </c>
    </row>
    <row r="67" spans="1:5" ht="56">
      <c r="A67" s="4" t="s">
        <v>627</v>
      </c>
      <c r="B67" s="4" t="s">
        <v>26</v>
      </c>
      <c r="C67" s="4" t="s">
        <v>1199</v>
      </c>
      <c r="D67" s="4" t="s">
        <v>625</v>
      </c>
      <c r="E67" s="4" t="s">
        <v>1200</v>
      </c>
    </row>
    <row r="68" spans="1:5" ht="42">
      <c r="A68" s="4" t="s">
        <v>399</v>
      </c>
      <c r="B68" s="4" t="s">
        <v>1201</v>
      </c>
      <c r="C68" s="4" t="s">
        <v>1202</v>
      </c>
      <c r="D68" s="4" t="s">
        <v>396</v>
      </c>
      <c r="E68" s="4" t="s">
        <v>1203</v>
      </c>
    </row>
    <row r="69" spans="1:5" ht="42">
      <c r="A69" s="4" t="s">
        <v>648</v>
      </c>
      <c r="B69" s="4" t="s">
        <v>1204</v>
      </c>
      <c r="C69" s="4" t="s">
        <v>1205</v>
      </c>
      <c r="D69" s="4" t="s">
        <v>1206</v>
      </c>
      <c r="E69" s="4" t="s">
        <v>1207</v>
      </c>
    </row>
    <row r="70" spans="1:5" ht="42">
      <c r="A70" s="4" t="s">
        <v>669</v>
      </c>
      <c r="B70" s="4" t="s">
        <v>1208</v>
      </c>
      <c r="C70" s="4" t="s">
        <v>1208</v>
      </c>
      <c r="D70" s="4" t="s">
        <v>1209</v>
      </c>
      <c r="E70" s="4" t="s">
        <v>1210</v>
      </c>
    </row>
    <row r="71" spans="1:5" ht="42">
      <c r="A71" s="4" t="s">
        <v>196</v>
      </c>
      <c r="B71" s="4" t="s">
        <v>1211</v>
      </c>
      <c r="C71" s="4" t="s">
        <v>1212</v>
      </c>
      <c r="D71" s="4" t="s">
        <v>146</v>
      </c>
      <c r="E71" s="4" t="s">
        <v>1213</v>
      </c>
    </row>
    <row r="72" spans="1:5" ht="84">
      <c r="A72" s="4" t="s">
        <v>686</v>
      </c>
      <c r="B72" s="4" t="s">
        <v>689</v>
      </c>
      <c r="C72" s="4" t="s">
        <v>909</v>
      </c>
      <c r="D72" s="4" t="s">
        <v>1012</v>
      </c>
      <c r="E72" s="4" t="s">
        <v>1214</v>
      </c>
    </row>
    <row r="73" spans="1:5" ht="42">
      <c r="A73" s="4" t="s">
        <v>743</v>
      </c>
      <c r="B73" s="4" t="s">
        <v>689</v>
      </c>
      <c r="C73" s="4" t="s">
        <v>1014</v>
      </c>
      <c r="D73" s="4" t="s">
        <v>1215</v>
      </c>
      <c r="E73" s="4" t="s">
        <v>1216</v>
      </c>
    </row>
    <row r="74" spans="1:5" ht="42">
      <c r="A74" s="4" t="s">
        <v>751</v>
      </c>
      <c r="B74" s="4" t="s">
        <v>689</v>
      </c>
      <c r="C74" s="4" t="s">
        <v>1016</v>
      </c>
      <c r="D74" s="4" t="s">
        <v>30</v>
      </c>
      <c r="E74" s="4" t="s">
        <v>1217</v>
      </c>
    </row>
    <row r="75" spans="1:5" ht="42">
      <c r="A75" s="4" t="s">
        <v>759</v>
      </c>
      <c r="B75" s="4" t="s">
        <v>689</v>
      </c>
      <c r="C75" s="4" t="s">
        <v>1018</v>
      </c>
      <c r="D75" s="4" t="s">
        <v>1218</v>
      </c>
      <c r="E75" s="4" t="s">
        <v>1219</v>
      </c>
    </row>
    <row r="76" spans="1:5" ht="42">
      <c r="A76" s="4" t="s">
        <v>767</v>
      </c>
      <c r="B76" s="4" t="s">
        <v>689</v>
      </c>
      <c r="C76" s="4" t="s">
        <v>1021</v>
      </c>
      <c r="D76" s="4" t="s">
        <v>1220</v>
      </c>
      <c r="E76" s="4" t="s">
        <v>1221</v>
      </c>
    </row>
    <row r="77" spans="1:5" ht="42">
      <c r="A77" s="4" t="s">
        <v>775</v>
      </c>
      <c r="B77" s="4" t="s">
        <v>689</v>
      </c>
      <c r="C77" s="4" t="s">
        <v>1024</v>
      </c>
      <c r="D77" s="4" t="s">
        <v>1026</v>
      </c>
      <c r="E77" s="4" t="s">
        <v>1222</v>
      </c>
    </row>
    <row r="78" spans="1:5" ht="42">
      <c r="A78" s="4" t="s">
        <v>784</v>
      </c>
      <c r="B78" s="4" t="s">
        <v>1223</v>
      </c>
      <c r="C78" s="4" t="s">
        <v>1224</v>
      </c>
      <c r="D78" s="4" t="s">
        <v>782</v>
      </c>
      <c r="E78" s="4" t="s">
        <v>1225</v>
      </c>
    </row>
    <row r="79" spans="1:5" ht="42">
      <c r="A79" s="4" t="s">
        <v>800</v>
      </c>
      <c r="B79" s="4" t="s">
        <v>1223</v>
      </c>
      <c r="C79" s="4" t="s">
        <v>1226</v>
      </c>
      <c r="D79" s="4" t="s">
        <v>799</v>
      </c>
      <c r="E79" s="4" t="s">
        <v>1227</v>
      </c>
    </row>
    <row r="80" spans="1:5">
      <c r="A80" s="4" t="s">
        <v>127</v>
      </c>
      <c r="B80" s="4" t="s">
        <v>1228</v>
      </c>
      <c r="C80" s="4" t="s">
        <v>1229</v>
      </c>
      <c r="D80" s="4" t="s">
        <v>1230</v>
      </c>
      <c r="E80" s="4" t="s">
        <v>1231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5"/>
  <sheetViews>
    <sheetView workbookViewId="0">
      <selection sqref="A1:E1"/>
    </sheetView>
  </sheetViews>
  <sheetFormatPr defaultRowHeight="14"/>
  <cols>
    <col min="1" max="1" width="20" customWidth="1"/>
    <col min="2" max="2" width="34" customWidth="1"/>
    <col min="3" max="3" width="32" customWidth="1"/>
    <col min="4" max="4" width="38" customWidth="1"/>
    <col min="5" max="5" width="70" customWidth="1"/>
  </cols>
  <sheetData>
    <row r="1" spans="1:5" ht="23">
      <c r="A1" s="7" t="s">
        <v>1232</v>
      </c>
      <c r="B1" s="8"/>
      <c r="C1" s="8"/>
      <c r="D1" s="8"/>
      <c r="E1" s="8"/>
    </row>
    <row r="2" spans="1:5">
      <c r="A2" s="9" t="s">
        <v>1233</v>
      </c>
      <c r="B2" s="8"/>
      <c r="C2" s="8"/>
      <c r="D2" s="8"/>
      <c r="E2" s="8"/>
    </row>
    <row r="3" spans="1:5" ht="22.65" customHeight="1">
      <c r="A3" s="2" t="s">
        <v>23</v>
      </c>
      <c r="B3" s="2" t="s">
        <v>1234</v>
      </c>
      <c r="C3" s="2" t="s">
        <v>1235</v>
      </c>
      <c r="D3" s="2" t="s">
        <v>1236</v>
      </c>
      <c r="E3" s="2" t="s">
        <v>1237</v>
      </c>
    </row>
    <row r="4" spans="1:5">
      <c r="A4" s="4" t="s">
        <v>25</v>
      </c>
      <c r="B4" s="4" t="s">
        <v>80</v>
      </c>
      <c r="C4" s="4" t="s">
        <v>1238</v>
      </c>
      <c r="D4" s="4" t="s">
        <v>95</v>
      </c>
      <c r="E4" s="4" t="s">
        <v>1239</v>
      </c>
    </row>
    <row r="5" spans="1:5">
      <c r="A5" s="4" t="s">
        <v>25</v>
      </c>
      <c r="B5" s="4" t="s">
        <v>95</v>
      </c>
      <c r="C5" s="4" t="s">
        <v>817</v>
      </c>
      <c r="D5" s="4" t="s">
        <v>107</v>
      </c>
      <c r="E5" s="4" t="s">
        <v>1240</v>
      </c>
    </row>
    <row r="6" spans="1:5">
      <c r="A6" s="4" t="s">
        <v>25</v>
      </c>
      <c r="B6" s="4" t="s">
        <v>95</v>
      </c>
      <c r="C6" s="4" t="s">
        <v>1241</v>
      </c>
      <c r="D6" s="4" t="s">
        <v>143</v>
      </c>
      <c r="E6" s="4" t="s">
        <v>1242</v>
      </c>
    </row>
    <row r="7" spans="1:5">
      <c r="A7" s="4" t="s">
        <v>25</v>
      </c>
      <c r="B7" s="4" t="s">
        <v>1243</v>
      </c>
      <c r="C7" s="4" t="s">
        <v>1244</v>
      </c>
      <c r="D7" s="4" t="s">
        <v>120</v>
      </c>
      <c r="E7" s="4" t="s">
        <v>1245</v>
      </c>
    </row>
    <row r="8" spans="1:5">
      <c r="A8" s="4" t="s">
        <v>25</v>
      </c>
      <c r="B8" s="4" t="s">
        <v>1243</v>
      </c>
      <c r="C8" s="4" t="s">
        <v>1246</v>
      </c>
      <c r="D8" s="4" t="s">
        <v>132</v>
      </c>
      <c r="E8" s="4" t="s">
        <v>1247</v>
      </c>
    </row>
    <row r="9" spans="1:5">
      <c r="A9" s="4" t="s">
        <v>29</v>
      </c>
      <c r="B9" s="4" t="s">
        <v>153</v>
      </c>
      <c r="C9" s="4" t="s">
        <v>1248</v>
      </c>
      <c r="D9" s="4" t="s">
        <v>161</v>
      </c>
      <c r="E9" s="4" t="s">
        <v>1249</v>
      </c>
    </row>
    <row r="10" spans="1:5">
      <c r="A10" s="4" t="s">
        <v>29</v>
      </c>
      <c r="B10" s="4" t="s">
        <v>29</v>
      </c>
      <c r="C10" s="4" t="s">
        <v>1250</v>
      </c>
      <c r="D10" s="4" t="s">
        <v>170</v>
      </c>
      <c r="E10" s="4" t="s">
        <v>1251</v>
      </c>
    </row>
    <row r="11" spans="1:5">
      <c r="A11" s="4" t="s">
        <v>29</v>
      </c>
      <c r="B11" s="4" t="s">
        <v>1252</v>
      </c>
      <c r="C11" s="4" t="s">
        <v>1253</v>
      </c>
      <c r="D11" s="4" t="s">
        <v>178</v>
      </c>
      <c r="E11" s="4" t="s">
        <v>1254</v>
      </c>
    </row>
    <row r="12" spans="1:5">
      <c r="A12" s="4" t="s">
        <v>29</v>
      </c>
      <c r="B12" s="4" t="s">
        <v>1243</v>
      </c>
      <c r="C12" s="4" t="s">
        <v>1255</v>
      </c>
      <c r="D12" s="4" t="s">
        <v>190</v>
      </c>
      <c r="E12" s="4" t="s">
        <v>194</v>
      </c>
    </row>
    <row r="13" spans="1:5">
      <c r="A13" s="4" t="s">
        <v>29</v>
      </c>
      <c r="B13" s="4" t="s">
        <v>1243</v>
      </c>
      <c r="C13" s="4" t="s">
        <v>1256</v>
      </c>
      <c r="D13" s="4" t="s">
        <v>202</v>
      </c>
      <c r="E13" s="4" t="s">
        <v>206</v>
      </c>
    </row>
    <row r="14" spans="1:5">
      <c r="A14" s="4" t="s">
        <v>33</v>
      </c>
      <c r="B14" s="4" t="s">
        <v>226</v>
      </c>
      <c r="C14" s="4" t="s">
        <v>1257</v>
      </c>
      <c r="D14" s="4" t="s">
        <v>236</v>
      </c>
      <c r="E14" s="4" t="s">
        <v>1258</v>
      </c>
    </row>
    <row r="15" spans="1:5">
      <c r="A15" s="4" t="s">
        <v>33</v>
      </c>
      <c r="B15" s="4" t="s">
        <v>236</v>
      </c>
      <c r="C15" s="4" t="s">
        <v>1259</v>
      </c>
      <c r="D15" s="4" t="s">
        <v>246</v>
      </c>
      <c r="E15" s="4" t="s">
        <v>1260</v>
      </c>
    </row>
    <row r="16" spans="1:5">
      <c r="A16" s="4" t="s">
        <v>33</v>
      </c>
      <c r="B16" s="4" t="s">
        <v>246</v>
      </c>
      <c r="C16" s="4" t="s">
        <v>1261</v>
      </c>
      <c r="D16" s="4" t="s">
        <v>256</v>
      </c>
      <c r="E16" s="4" t="s">
        <v>260</v>
      </c>
    </row>
    <row r="17" spans="1:5">
      <c r="A17" s="4" t="s">
        <v>33</v>
      </c>
      <c r="B17" s="4" t="s">
        <v>267</v>
      </c>
      <c r="C17" s="4" t="s">
        <v>1262</v>
      </c>
      <c r="D17" s="4" t="s">
        <v>295</v>
      </c>
      <c r="E17" s="4" t="s">
        <v>1263</v>
      </c>
    </row>
    <row r="18" spans="1:5">
      <c r="A18" s="4" t="s">
        <v>33</v>
      </c>
      <c r="B18" s="4" t="s">
        <v>267</v>
      </c>
      <c r="C18" s="4" t="s">
        <v>1105</v>
      </c>
      <c r="D18" s="4" t="s">
        <v>287</v>
      </c>
      <c r="E18" s="4" t="s">
        <v>1264</v>
      </c>
    </row>
    <row r="19" spans="1:5">
      <c r="A19" s="4" t="s">
        <v>33</v>
      </c>
      <c r="B19" s="4" t="s">
        <v>1265</v>
      </c>
      <c r="C19" s="4" t="s">
        <v>1266</v>
      </c>
      <c r="D19" s="4" t="s">
        <v>236</v>
      </c>
      <c r="E19" s="4" t="s">
        <v>1267</v>
      </c>
    </row>
    <row r="20" spans="1:5">
      <c r="A20" s="4" t="s">
        <v>27</v>
      </c>
      <c r="B20" s="4" t="s">
        <v>1268</v>
      </c>
      <c r="C20" s="4" t="s">
        <v>1269</v>
      </c>
      <c r="D20" s="4" t="s">
        <v>304</v>
      </c>
      <c r="E20" s="4" t="s">
        <v>1270</v>
      </c>
    </row>
    <row r="21" spans="1:5">
      <c r="A21" s="4" t="s">
        <v>27</v>
      </c>
      <c r="B21" s="4" t="s">
        <v>1271</v>
      </c>
      <c r="C21" s="4" t="s">
        <v>1272</v>
      </c>
      <c r="D21" s="4" t="s">
        <v>312</v>
      </c>
      <c r="E21" s="4" t="s">
        <v>1273</v>
      </c>
    </row>
    <row r="22" spans="1:5">
      <c r="A22" s="4" t="s">
        <v>27</v>
      </c>
      <c r="B22" s="4" t="s">
        <v>1272</v>
      </c>
      <c r="C22" s="4" t="s">
        <v>1274</v>
      </c>
      <c r="D22" s="4" t="s">
        <v>321</v>
      </c>
      <c r="E22" s="4" t="s">
        <v>324</v>
      </c>
    </row>
    <row r="23" spans="1:5">
      <c r="A23" s="4" t="s">
        <v>27</v>
      </c>
      <c r="B23" s="4" t="s">
        <v>1275</v>
      </c>
      <c r="C23" s="4" t="s">
        <v>1276</v>
      </c>
      <c r="D23" s="4" t="s">
        <v>336</v>
      </c>
      <c r="E23" s="4" t="s">
        <v>338</v>
      </c>
    </row>
    <row r="24" spans="1:5">
      <c r="A24" s="4" t="s">
        <v>27</v>
      </c>
      <c r="B24" s="4" t="s">
        <v>1275</v>
      </c>
      <c r="C24" s="4" t="s">
        <v>1277</v>
      </c>
      <c r="D24" s="4" t="s">
        <v>344</v>
      </c>
      <c r="E24" s="4" t="s">
        <v>347</v>
      </c>
    </row>
    <row r="25" spans="1:5">
      <c r="A25" s="4" t="s">
        <v>27</v>
      </c>
      <c r="B25" s="4" t="s">
        <v>1275</v>
      </c>
      <c r="C25" s="4" t="s">
        <v>1278</v>
      </c>
      <c r="D25" s="4" t="s">
        <v>352</v>
      </c>
      <c r="E25" s="4" t="s">
        <v>1279</v>
      </c>
    </row>
    <row r="26" spans="1:5">
      <c r="A26" s="4" t="s">
        <v>27</v>
      </c>
      <c r="B26" s="4" t="s">
        <v>1275</v>
      </c>
      <c r="C26" s="4" t="s">
        <v>1280</v>
      </c>
      <c r="D26" s="4" t="s">
        <v>360</v>
      </c>
      <c r="E26" s="4" t="s">
        <v>1281</v>
      </c>
    </row>
    <row r="27" spans="1:5">
      <c r="A27" s="4" t="s">
        <v>27</v>
      </c>
      <c r="B27" s="4" t="s">
        <v>1275</v>
      </c>
      <c r="C27" s="4" t="s">
        <v>1282</v>
      </c>
      <c r="D27" s="4" t="s">
        <v>368</v>
      </c>
      <c r="E27" s="4" t="s">
        <v>370</v>
      </c>
    </row>
    <row r="28" spans="1:5">
      <c r="A28" s="4" t="s">
        <v>27</v>
      </c>
      <c r="B28" s="4" t="s">
        <v>1275</v>
      </c>
      <c r="C28" s="4" t="s">
        <v>1283</v>
      </c>
      <c r="D28" s="4" t="s">
        <v>375</v>
      </c>
      <c r="E28" s="4" t="s">
        <v>378</v>
      </c>
    </row>
    <row r="29" spans="1:5">
      <c r="A29" s="4" t="s">
        <v>27</v>
      </c>
      <c r="B29" s="4" t="s">
        <v>1275</v>
      </c>
      <c r="C29" s="4" t="s">
        <v>1284</v>
      </c>
      <c r="D29" s="4" t="s">
        <v>385</v>
      </c>
      <c r="E29" s="4" t="s">
        <v>868</v>
      </c>
    </row>
    <row r="30" spans="1:5">
      <c r="A30" s="4" t="s">
        <v>27</v>
      </c>
      <c r="B30" s="4" t="s">
        <v>1275</v>
      </c>
      <c r="C30" s="4" t="s">
        <v>1285</v>
      </c>
      <c r="D30" s="4" t="s">
        <v>394</v>
      </c>
      <c r="E30" s="4" t="s">
        <v>396</v>
      </c>
    </row>
    <row r="31" spans="1:5">
      <c r="A31" s="4" t="s">
        <v>31</v>
      </c>
      <c r="B31" s="4" t="s">
        <v>1243</v>
      </c>
      <c r="C31" s="4" t="s">
        <v>1286</v>
      </c>
      <c r="D31" s="4" t="s">
        <v>495</v>
      </c>
      <c r="E31" s="4" t="s">
        <v>1287</v>
      </c>
    </row>
    <row r="32" spans="1:5">
      <c r="A32" s="4" t="s">
        <v>31</v>
      </c>
      <c r="B32" s="4" t="s">
        <v>1288</v>
      </c>
      <c r="C32" s="4" t="s">
        <v>1289</v>
      </c>
      <c r="D32" s="4" t="s">
        <v>504</v>
      </c>
      <c r="E32" s="4" t="s">
        <v>507</v>
      </c>
    </row>
    <row r="33" spans="1:5">
      <c r="A33" s="4" t="s">
        <v>31</v>
      </c>
      <c r="B33" s="4" t="s">
        <v>1290</v>
      </c>
      <c r="C33" s="4" t="s">
        <v>1291</v>
      </c>
      <c r="D33" s="4" t="s">
        <v>511</v>
      </c>
      <c r="E33" s="4" t="s">
        <v>514</v>
      </c>
    </row>
    <row r="34" spans="1:5" ht="28">
      <c r="A34" s="4" t="s">
        <v>31</v>
      </c>
      <c r="B34" s="4" t="s">
        <v>518</v>
      </c>
      <c r="C34" s="4" t="s">
        <v>1292</v>
      </c>
      <c r="D34" s="4" t="s">
        <v>525</v>
      </c>
      <c r="E34" s="4" t="s">
        <v>1293</v>
      </c>
    </row>
    <row r="35" spans="1:5">
      <c r="A35" s="4" t="s">
        <v>31</v>
      </c>
      <c r="B35" s="4" t="s">
        <v>1169</v>
      </c>
      <c r="C35" s="4" t="s">
        <v>1294</v>
      </c>
      <c r="D35" s="4" t="s">
        <v>548</v>
      </c>
      <c r="E35" s="4" t="s">
        <v>1295</v>
      </c>
    </row>
    <row r="36" spans="1:5">
      <c r="A36" s="4" t="s">
        <v>31</v>
      </c>
      <c r="B36" s="4" t="s">
        <v>1169</v>
      </c>
      <c r="C36" s="4" t="s">
        <v>1296</v>
      </c>
      <c r="D36" s="4" t="s">
        <v>540</v>
      </c>
      <c r="E36" s="4" t="s">
        <v>1297</v>
      </c>
    </row>
    <row r="37" spans="1:5">
      <c r="A37" s="4" t="s">
        <v>31</v>
      </c>
      <c r="B37" s="4" t="s">
        <v>1243</v>
      </c>
      <c r="C37" s="4" t="s">
        <v>1298</v>
      </c>
      <c r="D37" s="4" t="s">
        <v>558</v>
      </c>
      <c r="E37" s="4" t="s">
        <v>561</v>
      </c>
    </row>
    <row r="38" spans="1:5">
      <c r="A38" s="4" t="s">
        <v>26</v>
      </c>
      <c r="B38" s="4" t="s">
        <v>1243</v>
      </c>
      <c r="C38" s="4" t="s">
        <v>1299</v>
      </c>
      <c r="D38" s="4" t="s">
        <v>567</v>
      </c>
      <c r="E38" s="4" t="s">
        <v>569</v>
      </c>
    </row>
    <row r="39" spans="1:5">
      <c r="A39" s="4" t="s">
        <v>26</v>
      </c>
      <c r="B39" s="4" t="s">
        <v>567</v>
      </c>
      <c r="C39" s="4" t="s">
        <v>1179</v>
      </c>
      <c r="D39" s="4" t="s">
        <v>574</v>
      </c>
      <c r="E39" s="4" t="s">
        <v>1300</v>
      </c>
    </row>
    <row r="40" spans="1:5">
      <c r="A40" s="4" t="s">
        <v>26</v>
      </c>
      <c r="B40" s="4" t="s">
        <v>1179</v>
      </c>
      <c r="C40" s="4" t="s">
        <v>1301</v>
      </c>
      <c r="D40" s="4" t="s">
        <v>582</v>
      </c>
      <c r="E40" s="4" t="s">
        <v>585</v>
      </c>
    </row>
    <row r="41" spans="1:5">
      <c r="A41" s="4" t="s">
        <v>26</v>
      </c>
      <c r="B41" s="4" t="s">
        <v>1302</v>
      </c>
      <c r="C41" s="4" t="s">
        <v>1303</v>
      </c>
      <c r="D41" s="4" t="s">
        <v>590</v>
      </c>
      <c r="E41" s="4" t="s">
        <v>1304</v>
      </c>
    </row>
    <row r="42" spans="1:5">
      <c r="A42" s="4" t="s">
        <v>26</v>
      </c>
      <c r="B42" s="4" t="s">
        <v>590</v>
      </c>
      <c r="C42" s="4" t="s">
        <v>1305</v>
      </c>
      <c r="D42" s="4" t="s">
        <v>598</v>
      </c>
      <c r="E42" s="4" t="s">
        <v>602</v>
      </c>
    </row>
    <row r="43" spans="1:5">
      <c r="A43" s="4" t="s">
        <v>26</v>
      </c>
      <c r="B43" s="4" t="s">
        <v>590</v>
      </c>
      <c r="C43" s="4" t="s">
        <v>1184</v>
      </c>
      <c r="D43" s="4" t="s">
        <v>606</v>
      </c>
      <c r="E43" s="4" t="s">
        <v>608</v>
      </c>
    </row>
    <row r="44" spans="1:5">
      <c r="A44" s="4" t="s">
        <v>26</v>
      </c>
      <c r="B44" s="4" t="s">
        <v>590</v>
      </c>
      <c r="C44" s="4" t="s">
        <v>1306</v>
      </c>
      <c r="D44" s="4" t="s">
        <v>615</v>
      </c>
      <c r="E44" s="4" t="s">
        <v>618</v>
      </c>
    </row>
    <row r="45" spans="1:5">
      <c r="A45" s="4" t="s">
        <v>26</v>
      </c>
      <c r="B45" s="4" t="s">
        <v>590</v>
      </c>
      <c r="C45" s="4" t="s">
        <v>1199</v>
      </c>
      <c r="D45" s="4" t="s">
        <v>623</v>
      </c>
      <c r="E45" s="4" t="s">
        <v>625</v>
      </c>
    </row>
    <row r="46" spans="1:5">
      <c r="A46" s="4" t="s">
        <v>1307</v>
      </c>
      <c r="B46" s="4" t="s">
        <v>27</v>
      </c>
      <c r="C46" s="4" t="s">
        <v>1308</v>
      </c>
      <c r="D46" s="4" t="s">
        <v>637</v>
      </c>
      <c r="E46" s="4" t="s">
        <v>639</v>
      </c>
    </row>
    <row r="47" spans="1:5">
      <c r="A47" s="4" t="s">
        <v>1307</v>
      </c>
      <c r="B47" s="4" t="s">
        <v>1309</v>
      </c>
      <c r="C47" s="4" t="s">
        <v>1310</v>
      </c>
      <c r="D47" s="4" t="s">
        <v>644</v>
      </c>
      <c r="E47" s="4" t="s">
        <v>647</v>
      </c>
    </row>
    <row r="48" spans="1:5">
      <c r="A48" s="4" t="s">
        <v>1307</v>
      </c>
      <c r="B48" s="4" t="s">
        <v>644</v>
      </c>
      <c r="C48" s="4" t="s">
        <v>1311</v>
      </c>
      <c r="D48" s="4" t="s">
        <v>652</v>
      </c>
      <c r="E48" s="4" t="s">
        <v>654</v>
      </c>
    </row>
    <row r="49" spans="1:5">
      <c r="A49" s="4" t="s">
        <v>1307</v>
      </c>
      <c r="B49" s="4" t="s">
        <v>1202</v>
      </c>
      <c r="C49" s="4" t="s">
        <v>659</v>
      </c>
      <c r="D49" s="4" t="s">
        <v>657</v>
      </c>
      <c r="E49" s="4" t="s">
        <v>1312</v>
      </c>
    </row>
    <row r="50" spans="1:5">
      <c r="A50" s="4" t="s">
        <v>1313</v>
      </c>
      <c r="B50" s="4" t="s">
        <v>1314</v>
      </c>
      <c r="C50" s="4" t="s">
        <v>1315</v>
      </c>
      <c r="D50" s="4" t="s">
        <v>691</v>
      </c>
      <c r="E50" s="4" t="s">
        <v>694</v>
      </c>
    </row>
    <row r="51" spans="1:5">
      <c r="A51" s="4" t="s">
        <v>1313</v>
      </c>
      <c r="B51" s="4" t="s">
        <v>1316</v>
      </c>
      <c r="C51" s="4" t="s">
        <v>696</v>
      </c>
      <c r="D51" s="4" t="s">
        <v>698</v>
      </c>
      <c r="E51" s="4" t="s">
        <v>1317</v>
      </c>
    </row>
    <row r="52" spans="1:5">
      <c r="A52" s="4" t="s">
        <v>1211</v>
      </c>
      <c r="B52" s="4" t="s">
        <v>1243</v>
      </c>
      <c r="C52" s="4" t="s">
        <v>1318</v>
      </c>
      <c r="D52" s="4" t="s">
        <v>200</v>
      </c>
      <c r="E52" s="4" t="s">
        <v>260</v>
      </c>
    </row>
    <row r="53" spans="1:5">
      <c r="A53" s="4" t="s">
        <v>30</v>
      </c>
      <c r="B53" s="4" t="s">
        <v>657</v>
      </c>
      <c r="C53" s="4" t="s">
        <v>1319</v>
      </c>
      <c r="D53" s="4" t="s">
        <v>730</v>
      </c>
      <c r="E53" s="4" t="s">
        <v>1320</v>
      </c>
    </row>
    <row r="54" spans="1:5">
      <c r="A54" s="4" t="s">
        <v>1223</v>
      </c>
      <c r="B54" s="4" t="s">
        <v>1321</v>
      </c>
      <c r="C54" s="4" t="s">
        <v>779</v>
      </c>
      <c r="D54" s="4" t="s">
        <v>779</v>
      </c>
      <c r="E54" s="4" t="s">
        <v>782</v>
      </c>
    </row>
    <row r="55" spans="1:5">
      <c r="A55" s="4" t="s">
        <v>1223</v>
      </c>
      <c r="B55" s="4" t="s">
        <v>796</v>
      </c>
      <c r="C55" s="4" t="s">
        <v>1322</v>
      </c>
      <c r="D55" s="4" t="s">
        <v>796</v>
      </c>
      <c r="E55" s="4" t="s">
        <v>1323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"/>
  <sheetViews>
    <sheetView workbookViewId="0">
      <selection sqref="A1:E1"/>
    </sheetView>
  </sheetViews>
  <sheetFormatPr defaultRowHeight="14"/>
  <cols>
    <col min="1" max="1" width="34" customWidth="1"/>
    <col min="2" max="2" width="18" customWidth="1"/>
    <col min="3" max="5" width="54" customWidth="1"/>
  </cols>
  <sheetData>
    <row r="1" spans="1:5" ht="23">
      <c r="A1" s="7" t="s">
        <v>1324</v>
      </c>
      <c r="B1" s="8"/>
      <c r="C1" s="8"/>
      <c r="D1" s="8"/>
      <c r="E1" s="8"/>
    </row>
    <row r="2" spans="1:5">
      <c r="A2" s="9" t="s">
        <v>1325</v>
      </c>
      <c r="B2" s="8"/>
      <c r="C2" s="8"/>
      <c r="D2" s="8"/>
      <c r="E2" s="8"/>
    </row>
    <row r="4" spans="1:5">
      <c r="A4" s="5" t="s">
        <v>1326</v>
      </c>
      <c r="B4" s="5" t="s">
        <v>1327</v>
      </c>
      <c r="C4" s="5" t="s">
        <v>1328</v>
      </c>
      <c r="D4" s="5" t="s">
        <v>1329</v>
      </c>
      <c r="E4" s="5" t="s">
        <v>1330</v>
      </c>
    </row>
    <row r="5" spans="1:5">
      <c r="A5" s="3" t="s">
        <v>1331</v>
      </c>
      <c r="B5" s="3">
        <v>15</v>
      </c>
      <c r="C5" s="3" t="s">
        <v>1332</v>
      </c>
      <c r="D5" s="3" t="s">
        <v>1333</v>
      </c>
      <c r="E5" s="3" t="s">
        <v>1334</v>
      </c>
    </row>
    <row r="6" spans="1:5">
      <c r="A6" s="3" t="s">
        <v>1335</v>
      </c>
      <c r="B6" s="3">
        <v>20</v>
      </c>
      <c r="C6" s="3" t="s">
        <v>1336</v>
      </c>
      <c r="D6" s="3" t="s">
        <v>1337</v>
      </c>
      <c r="E6" s="3" t="s">
        <v>1338</v>
      </c>
    </row>
    <row r="7" spans="1:5">
      <c r="A7" s="3" t="s">
        <v>1339</v>
      </c>
      <c r="B7" s="3">
        <v>30</v>
      </c>
      <c r="C7" s="3" t="s">
        <v>1340</v>
      </c>
      <c r="D7" s="3" t="s">
        <v>1341</v>
      </c>
      <c r="E7" s="3" t="s">
        <v>1342</v>
      </c>
    </row>
    <row r="8" spans="1:5">
      <c r="A8" s="3" t="s">
        <v>1343</v>
      </c>
      <c r="B8" s="3">
        <v>20</v>
      </c>
      <c r="C8" s="3" t="s">
        <v>1344</v>
      </c>
      <c r="D8" s="3" t="s">
        <v>1345</v>
      </c>
      <c r="E8" s="3" t="s">
        <v>1346</v>
      </c>
    </row>
    <row r="9" spans="1:5">
      <c r="A9" s="3" t="s">
        <v>1347</v>
      </c>
      <c r="B9" s="3">
        <v>15</v>
      </c>
      <c r="C9" s="3" t="s">
        <v>1348</v>
      </c>
      <c r="D9" s="3" t="s">
        <v>1349</v>
      </c>
      <c r="E9" s="3" t="s">
        <v>1350</v>
      </c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5" t="s">
        <v>1351</v>
      </c>
      <c r="B12" s="5" t="s">
        <v>1352</v>
      </c>
      <c r="C12" s="5" t="s">
        <v>1353</v>
      </c>
      <c r="D12" s="5" t="s">
        <v>20</v>
      </c>
      <c r="E12" s="3"/>
    </row>
    <row r="13" spans="1:5" ht="28">
      <c r="A13" s="3" t="s">
        <v>1354</v>
      </c>
      <c r="B13" s="3" t="s">
        <v>1355</v>
      </c>
      <c r="C13" s="3" t="s">
        <v>1356</v>
      </c>
      <c r="D13" s="3" t="s">
        <v>1357</v>
      </c>
      <c r="E13" s="3"/>
    </row>
    <row r="14" spans="1:5" ht="28">
      <c r="A14" s="3" t="s">
        <v>1354</v>
      </c>
      <c r="B14" s="3" t="s">
        <v>1358</v>
      </c>
      <c r="C14" s="3" t="s">
        <v>1359</v>
      </c>
      <c r="D14" s="3" t="s">
        <v>1360</v>
      </c>
      <c r="E14" s="3"/>
    </row>
    <row r="15" spans="1:5" ht="28">
      <c r="A15" s="3" t="s">
        <v>1354</v>
      </c>
      <c r="B15" s="3" t="s">
        <v>1361</v>
      </c>
      <c r="C15" s="3" t="s">
        <v>1362</v>
      </c>
      <c r="D15" s="3" t="s">
        <v>1363</v>
      </c>
      <c r="E15" s="3"/>
    </row>
    <row r="16" spans="1:5" ht="28">
      <c r="A16" s="3" t="s">
        <v>1354</v>
      </c>
      <c r="B16" s="3" t="s">
        <v>1364</v>
      </c>
      <c r="C16" s="3" t="s">
        <v>1356</v>
      </c>
      <c r="D16" s="3" t="s">
        <v>1365</v>
      </c>
      <c r="E16" s="3"/>
    </row>
    <row r="17" spans="1:5" ht="28">
      <c r="A17" s="3" t="s">
        <v>1354</v>
      </c>
      <c r="B17" s="3" t="s">
        <v>1366</v>
      </c>
      <c r="C17" s="3" t="s">
        <v>1356</v>
      </c>
      <c r="D17" s="3" t="s">
        <v>1367</v>
      </c>
      <c r="E17" s="3"/>
    </row>
    <row r="18" spans="1:5" ht="28">
      <c r="A18" s="3" t="s">
        <v>1354</v>
      </c>
      <c r="B18" s="3" t="s">
        <v>1368</v>
      </c>
      <c r="C18" s="3" t="s">
        <v>1369</v>
      </c>
      <c r="D18" s="3" t="s">
        <v>1370</v>
      </c>
      <c r="E18" s="3"/>
    </row>
    <row r="19" spans="1:5" ht="42">
      <c r="A19" s="3" t="s">
        <v>1354</v>
      </c>
      <c r="B19" s="3" t="s">
        <v>1371</v>
      </c>
      <c r="C19" s="3" t="s">
        <v>1372</v>
      </c>
      <c r="D19" s="3" t="s">
        <v>1373</v>
      </c>
      <c r="E19" s="3"/>
    </row>
    <row r="20" spans="1:5">
      <c r="A20" s="3" t="s">
        <v>1374</v>
      </c>
      <c r="B20" s="3" t="s">
        <v>1375</v>
      </c>
      <c r="C20" s="3" t="s">
        <v>1376</v>
      </c>
      <c r="D20" s="3" t="s">
        <v>1377</v>
      </c>
      <c r="E20" s="3"/>
    </row>
    <row r="21" spans="1:5" ht="28">
      <c r="A21" s="3" t="s">
        <v>1374</v>
      </c>
      <c r="B21" s="3" t="s">
        <v>1378</v>
      </c>
      <c r="C21" s="3" t="s">
        <v>1376</v>
      </c>
      <c r="D21" s="3" t="s">
        <v>1379</v>
      </c>
      <c r="E21" s="3"/>
    </row>
    <row r="22" spans="1:5">
      <c r="A22" s="3" t="s">
        <v>1374</v>
      </c>
      <c r="B22" s="3" t="s">
        <v>1347</v>
      </c>
      <c r="C22" s="3" t="s">
        <v>1380</v>
      </c>
      <c r="D22" s="3" t="s">
        <v>1381</v>
      </c>
      <c r="E22" s="3"/>
    </row>
    <row r="23" spans="1:5" ht="28">
      <c r="A23" s="3" t="s">
        <v>1374</v>
      </c>
      <c r="B23" s="3" t="s">
        <v>1382</v>
      </c>
      <c r="C23" s="3" t="s">
        <v>1376</v>
      </c>
      <c r="D23" s="3" t="s">
        <v>1383</v>
      </c>
      <c r="E23" s="3"/>
    </row>
    <row r="24" spans="1:5">
      <c r="A24" s="3" t="s">
        <v>1374</v>
      </c>
      <c r="B24" s="3" t="s">
        <v>236</v>
      </c>
      <c r="C24" s="3" t="s">
        <v>1384</v>
      </c>
      <c r="D24" s="3" t="s">
        <v>1385</v>
      </c>
      <c r="E24" s="3"/>
    </row>
    <row r="25" spans="1:5">
      <c r="A25" s="3" t="s">
        <v>1374</v>
      </c>
      <c r="B25" s="3" t="s">
        <v>1268</v>
      </c>
      <c r="C25" s="3" t="s">
        <v>1384</v>
      </c>
      <c r="D25" s="3" t="s">
        <v>1386</v>
      </c>
      <c r="E25" s="3"/>
    </row>
    <row r="26" spans="1:5">
      <c r="A26" s="3" t="s">
        <v>1374</v>
      </c>
      <c r="B26" s="3" t="s">
        <v>657</v>
      </c>
      <c r="C26" s="3" t="s">
        <v>1387</v>
      </c>
      <c r="D26" s="3" t="s">
        <v>1388</v>
      </c>
      <c r="E26" s="3"/>
    </row>
    <row r="27" spans="1:5">
      <c r="A27" s="3" t="s">
        <v>1374</v>
      </c>
      <c r="B27" s="3" t="s">
        <v>1389</v>
      </c>
      <c r="C27" s="3" t="s">
        <v>1376</v>
      </c>
      <c r="D27" s="3" t="s">
        <v>1390</v>
      </c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 ht="28">
      <c r="A30" s="5" t="s">
        <v>73</v>
      </c>
      <c r="B30" s="5" t="s">
        <v>1391</v>
      </c>
      <c r="C30" s="5" t="s">
        <v>1392</v>
      </c>
      <c r="D30" s="3"/>
      <c r="E30" s="3"/>
    </row>
    <row r="31" spans="1:5" ht="28">
      <c r="A31" s="3" t="s">
        <v>273</v>
      </c>
      <c r="B31" s="3">
        <v>100</v>
      </c>
      <c r="C31" s="3" t="s">
        <v>1393</v>
      </c>
      <c r="D31" s="3"/>
      <c r="E31" s="3"/>
    </row>
    <row r="32" spans="1:5" ht="28">
      <c r="A32" s="3" t="s">
        <v>186</v>
      </c>
      <c r="B32" s="3">
        <v>75</v>
      </c>
      <c r="C32" s="3" t="s">
        <v>1394</v>
      </c>
      <c r="D32" s="3"/>
      <c r="E32" s="3"/>
    </row>
    <row r="33" spans="1:5">
      <c r="A33" s="3" t="s">
        <v>114</v>
      </c>
      <c r="B33" s="3">
        <v>50</v>
      </c>
      <c r="C33" s="3" t="s">
        <v>1395</v>
      </c>
      <c r="D33" s="3"/>
      <c r="E33" s="3"/>
    </row>
    <row r="34" spans="1:5" ht="28">
      <c r="A34" s="3" t="s">
        <v>89</v>
      </c>
      <c r="B34" s="3">
        <v>25</v>
      </c>
      <c r="C34" s="3" t="s">
        <v>1396</v>
      </c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5" t="s">
        <v>1397</v>
      </c>
      <c r="B37" s="5" t="s">
        <v>1398</v>
      </c>
      <c r="C37" s="3"/>
      <c r="D37" s="3"/>
      <c r="E37" s="3"/>
    </row>
    <row r="38" spans="1:5">
      <c r="A38" s="3" t="s">
        <v>1399</v>
      </c>
      <c r="B38" s="3" t="s">
        <v>1400</v>
      </c>
      <c r="C38" s="3"/>
      <c r="D38" s="3"/>
      <c r="E38" s="3"/>
    </row>
    <row r="39" spans="1:5">
      <c r="A39" s="3" t="s">
        <v>1401</v>
      </c>
      <c r="B39" s="3" t="s">
        <v>1402</v>
      </c>
      <c r="C39" s="3"/>
      <c r="D39" s="3"/>
      <c r="E39" s="3"/>
    </row>
    <row r="40" spans="1:5">
      <c r="A40" s="3" t="s">
        <v>1403</v>
      </c>
      <c r="B40" s="3" t="s">
        <v>1404</v>
      </c>
      <c r="C40" s="3"/>
      <c r="D40" s="3"/>
      <c r="E40" s="3"/>
    </row>
    <row r="41" spans="1:5">
      <c r="A41" s="3" t="s">
        <v>1405</v>
      </c>
      <c r="B41" s="3" t="s">
        <v>1406</v>
      </c>
      <c r="C41" s="3"/>
      <c r="D41" s="3"/>
      <c r="E41" s="3"/>
    </row>
    <row r="42" spans="1:5">
      <c r="A42" s="3"/>
      <c r="B42" s="3"/>
      <c r="C42" s="3"/>
      <c r="D42" s="3"/>
      <c r="E42" s="3"/>
    </row>
    <row r="43" spans="1:5">
      <c r="A43" s="3"/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spans="1:5">
      <c r="A46" s="3"/>
      <c r="B46" s="3"/>
      <c r="C46" s="3"/>
      <c r="D46" s="3"/>
      <c r="E46" s="3"/>
    </row>
    <row r="47" spans="1:5">
      <c r="A47" s="3"/>
      <c r="B47" s="3"/>
      <c r="C47" s="3"/>
      <c r="D47" s="3"/>
      <c r="E47" s="3"/>
    </row>
    <row r="48" spans="1:5">
      <c r="A48" s="3"/>
      <c r="B48" s="3"/>
      <c r="C48" s="3"/>
      <c r="D48" s="3"/>
      <c r="E48" s="3"/>
    </row>
    <row r="49" spans="1:5">
      <c r="A49" s="3"/>
      <c r="B49" s="3"/>
      <c r="C49" s="3"/>
      <c r="D49" s="3"/>
      <c r="E49" s="3"/>
    </row>
    <row r="50" spans="1:5">
      <c r="A50" s="3"/>
      <c r="B50" s="3"/>
      <c r="C50" s="3"/>
      <c r="D50" s="3"/>
      <c r="E50" s="3"/>
    </row>
    <row r="51" spans="1:5">
      <c r="A51" s="3"/>
      <c r="B51" s="3"/>
      <c r="C51" s="3"/>
      <c r="D51" s="3"/>
      <c r="E51" s="3"/>
    </row>
    <row r="52" spans="1:5">
      <c r="A52" s="3"/>
      <c r="B52" s="3"/>
      <c r="C52" s="3"/>
      <c r="D52" s="3"/>
      <c r="E52" s="3"/>
    </row>
    <row r="53" spans="1:5">
      <c r="A53" s="3"/>
      <c r="B53" s="3"/>
      <c r="C53" s="3"/>
      <c r="D53" s="3"/>
      <c r="E53" s="3"/>
    </row>
    <row r="54" spans="1:5">
      <c r="A54" s="3"/>
      <c r="B54" s="3"/>
      <c r="C54" s="3"/>
      <c r="D54" s="3"/>
      <c r="E54" s="3"/>
    </row>
    <row r="55" spans="1:5">
      <c r="A55" s="3"/>
      <c r="B55" s="3"/>
      <c r="C55" s="3"/>
      <c r="D55" s="3"/>
      <c r="E55" s="3"/>
    </row>
    <row r="56" spans="1:5">
      <c r="A56" s="3"/>
      <c r="B56" s="3"/>
      <c r="C56" s="3"/>
      <c r="D56" s="3"/>
      <c r="E56" s="3"/>
    </row>
    <row r="57" spans="1:5">
      <c r="A57" s="3"/>
      <c r="B57" s="3"/>
      <c r="C57" s="3"/>
      <c r="D57" s="3"/>
      <c r="E57" s="3"/>
    </row>
    <row r="58" spans="1:5">
      <c r="A58" s="3"/>
      <c r="B58" s="3"/>
      <c r="C58" s="3"/>
      <c r="D58" s="3"/>
      <c r="E58" s="3"/>
    </row>
    <row r="59" spans="1:5">
      <c r="A59" s="3"/>
      <c r="B59" s="3"/>
      <c r="C59" s="3"/>
      <c r="D59" s="3"/>
      <c r="E59" s="3"/>
    </row>
    <row r="60" spans="1:5">
      <c r="A60" s="3"/>
      <c r="B60" s="3"/>
      <c r="C60" s="3"/>
      <c r="D60" s="3"/>
      <c r="E60" s="3"/>
    </row>
    <row r="61" spans="1:5">
      <c r="A61" s="3"/>
      <c r="B61" s="3"/>
      <c r="C61" s="3"/>
      <c r="D61" s="3"/>
      <c r="E61" s="3"/>
    </row>
    <row r="62" spans="1:5">
      <c r="A62" s="3"/>
      <c r="B62" s="3"/>
      <c r="C62" s="3"/>
      <c r="D62" s="3"/>
      <c r="E62" s="3"/>
    </row>
    <row r="63" spans="1:5">
      <c r="A63" s="3"/>
      <c r="B63" s="3"/>
      <c r="C63" s="3"/>
      <c r="D63" s="3"/>
      <c r="E63" s="3"/>
    </row>
    <row r="64" spans="1:5">
      <c r="A64" s="3"/>
      <c r="B64" s="3"/>
      <c r="C64" s="3"/>
      <c r="D64" s="3"/>
      <c r="E64" s="3"/>
    </row>
    <row r="65" spans="1:5">
      <c r="A65" s="3"/>
      <c r="B65" s="3"/>
      <c r="C65" s="3"/>
      <c r="D65" s="3"/>
      <c r="E65" s="3"/>
    </row>
    <row r="66" spans="1:5">
      <c r="A66" s="3"/>
      <c r="B66" s="3"/>
      <c r="C66" s="3"/>
      <c r="D66" s="3"/>
      <c r="E66" s="3"/>
    </row>
    <row r="67" spans="1:5">
      <c r="A67" s="3"/>
      <c r="B67" s="3"/>
      <c r="C67" s="3"/>
      <c r="D67" s="3"/>
      <c r="E67" s="3"/>
    </row>
    <row r="68" spans="1:5">
      <c r="A68" s="3"/>
      <c r="B68" s="3"/>
      <c r="C68" s="3"/>
      <c r="D68" s="3"/>
      <c r="E68" s="3"/>
    </row>
    <row r="69" spans="1:5">
      <c r="A69" s="3"/>
      <c r="B69" s="3"/>
      <c r="C69" s="3"/>
      <c r="D69" s="3"/>
      <c r="E69" s="3"/>
    </row>
    <row r="70" spans="1:5">
      <c r="A70" s="3"/>
      <c r="B70" s="3"/>
      <c r="C70" s="3"/>
      <c r="D70" s="3"/>
      <c r="E70" s="3"/>
    </row>
    <row r="71" spans="1:5">
      <c r="A71" s="3"/>
      <c r="B71" s="3"/>
      <c r="C71" s="3"/>
      <c r="D71" s="3"/>
      <c r="E71" s="3"/>
    </row>
    <row r="72" spans="1:5">
      <c r="A72" s="3"/>
      <c r="B72" s="3"/>
      <c r="C72" s="3"/>
      <c r="D72" s="3"/>
      <c r="E72" s="3"/>
    </row>
    <row r="73" spans="1:5">
      <c r="A73" s="3"/>
      <c r="B73" s="3"/>
      <c r="C73" s="3"/>
      <c r="D73" s="3"/>
      <c r="E73" s="3"/>
    </row>
    <row r="74" spans="1:5">
      <c r="A74" s="3"/>
      <c r="B74" s="3"/>
      <c r="C74" s="3"/>
      <c r="D74" s="3"/>
      <c r="E74" s="3"/>
    </row>
    <row r="75" spans="1:5">
      <c r="A75" s="3"/>
      <c r="B75" s="3"/>
      <c r="C75" s="3"/>
      <c r="D75" s="3"/>
      <c r="E75" s="3"/>
    </row>
    <row r="76" spans="1:5">
      <c r="A76" s="3"/>
      <c r="B76" s="3"/>
      <c r="C76" s="3"/>
      <c r="D76" s="3"/>
      <c r="E76" s="3"/>
    </row>
    <row r="77" spans="1:5">
      <c r="A77" s="3"/>
      <c r="B77" s="3"/>
      <c r="C77" s="3"/>
      <c r="D77" s="3"/>
      <c r="E77" s="3"/>
    </row>
    <row r="78" spans="1:5">
      <c r="A78" s="3"/>
      <c r="B78" s="3"/>
      <c r="C78" s="3"/>
      <c r="D78" s="3"/>
      <c r="E78" s="3"/>
    </row>
    <row r="79" spans="1:5">
      <c r="A79" s="3"/>
      <c r="B79" s="3"/>
      <c r="C79" s="3"/>
      <c r="D79" s="3"/>
      <c r="E79" s="3"/>
    </row>
    <row r="80" spans="1:5">
      <c r="A80" s="3"/>
      <c r="B80" s="3"/>
      <c r="C80" s="3"/>
      <c r="D80" s="3"/>
      <c r="E80" s="3"/>
    </row>
    <row r="81" spans="1:5">
      <c r="A81" s="3"/>
      <c r="B81" s="3"/>
      <c r="C81" s="3"/>
      <c r="D81" s="3"/>
      <c r="E81" s="3"/>
    </row>
    <row r="82" spans="1:5">
      <c r="A82" s="3"/>
      <c r="B82" s="3"/>
      <c r="C82" s="3"/>
      <c r="D82" s="3"/>
      <c r="E82" s="3"/>
    </row>
    <row r="83" spans="1:5">
      <c r="A83" s="3"/>
      <c r="B83" s="3"/>
      <c r="C83" s="3"/>
      <c r="D83" s="3"/>
      <c r="E83" s="3"/>
    </row>
    <row r="84" spans="1:5">
      <c r="A84" s="3"/>
      <c r="B84" s="3"/>
      <c r="C84" s="3"/>
      <c r="D84" s="3"/>
      <c r="E84" s="3"/>
    </row>
    <row r="85" spans="1:5">
      <c r="A85" s="3"/>
      <c r="B85" s="3"/>
      <c r="C85" s="3"/>
      <c r="D85" s="3"/>
      <c r="E85" s="3"/>
    </row>
    <row r="86" spans="1:5">
      <c r="A86" s="3"/>
      <c r="B86" s="3"/>
      <c r="C86" s="3"/>
      <c r="D86" s="3"/>
      <c r="E86" s="3"/>
    </row>
    <row r="87" spans="1:5">
      <c r="A87" s="3"/>
      <c r="B87" s="3"/>
      <c r="C87" s="3"/>
      <c r="D87" s="3"/>
      <c r="E87" s="3"/>
    </row>
    <row r="88" spans="1:5">
      <c r="A88" s="3"/>
      <c r="B88" s="3"/>
      <c r="C88" s="3"/>
      <c r="D88" s="3"/>
      <c r="E88" s="3"/>
    </row>
    <row r="89" spans="1:5">
      <c r="A89" s="3"/>
      <c r="B89" s="3"/>
      <c r="C89" s="3"/>
      <c r="D89" s="3"/>
      <c r="E89" s="3"/>
    </row>
    <row r="90" spans="1:5">
      <c r="A90" s="3"/>
      <c r="B90" s="3"/>
      <c r="C90" s="3"/>
      <c r="D90" s="3"/>
      <c r="E90" s="3"/>
    </row>
    <row r="91" spans="1:5">
      <c r="A91" s="3"/>
      <c r="B91" s="3"/>
      <c r="C91" s="3"/>
      <c r="D91" s="3"/>
      <c r="E91" s="3"/>
    </row>
    <row r="92" spans="1:5">
      <c r="A92" s="3"/>
      <c r="B92" s="3"/>
      <c r="C92" s="3"/>
      <c r="D92" s="3"/>
      <c r="E92" s="3"/>
    </row>
    <row r="93" spans="1:5">
      <c r="A93" s="3"/>
      <c r="B93" s="3"/>
      <c r="C93" s="3"/>
      <c r="D93" s="3"/>
      <c r="E93" s="3"/>
    </row>
    <row r="94" spans="1:5">
      <c r="A94" s="3"/>
      <c r="B94" s="3"/>
      <c r="C94" s="3"/>
      <c r="D94" s="3"/>
      <c r="E94" s="3"/>
    </row>
    <row r="95" spans="1:5">
      <c r="A95" s="3"/>
      <c r="B95" s="3"/>
      <c r="C95" s="3"/>
      <c r="D95" s="3"/>
      <c r="E95" s="3"/>
    </row>
    <row r="96" spans="1:5">
      <c r="A96" s="3"/>
      <c r="B96" s="3"/>
      <c r="C96" s="3"/>
      <c r="D96" s="3"/>
      <c r="E96" s="3"/>
    </row>
    <row r="97" spans="1:5">
      <c r="A97" s="3"/>
      <c r="B97" s="3"/>
      <c r="C97" s="3"/>
      <c r="D97" s="3"/>
      <c r="E97" s="3"/>
    </row>
    <row r="98" spans="1:5">
      <c r="A98" s="3"/>
      <c r="B98" s="3"/>
      <c r="C98" s="3"/>
      <c r="D98" s="3"/>
      <c r="E98" s="3"/>
    </row>
    <row r="99" spans="1:5">
      <c r="A99" s="3"/>
      <c r="B99" s="3"/>
      <c r="C99" s="3"/>
      <c r="D99" s="3"/>
      <c r="E99" s="3"/>
    </row>
    <row r="100" spans="1:5">
      <c r="A100" s="3"/>
      <c r="B100" s="3"/>
      <c r="C100" s="3"/>
      <c r="D100" s="3"/>
      <c r="E100" s="3"/>
    </row>
  </sheetData>
  <mergeCells count="2">
    <mergeCell ref="A1:E1"/>
    <mergeCell ref="A2:E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"/>
  <sheetViews>
    <sheetView workbookViewId="0">
      <selection sqref="A1:E1"/>
    </sheetView>
  </sheetViews>
  <sheetFormatPr defaultRowHeight="14"/>
  <cols>
    <col min="1" max="1" width="34" customWidth="1"/>
    <col min="2" max="2" width="28" customWidth="1"/>
    <col min="3" max="3" width="42" customWidth="1"/>
    <col min="4" max="4" width="38" customWidth="1"/>
    <col min="5" max="5" width="58" customWidth="1"/>
  </cols>
  <sheetData>
    <row r="1" spans="1:5" ht="23">
      <c r="A1" s="7" t="s">
        <v>1407</v>
      </c>
      <c r="B1" s="8"/>
      <c r="C1" s="8"/>
      <c r="D1" s="8"/>
      <c r="E1" s="8"/>
    </row>
    <row r="2" spans="1:5">
      <c r="A2" s="9" t="s">
        <v>1408</v>
      </c>
      <c r="B2" s="8"/>
      <c r="C2" s="8"/>
      <c r="D2" s="8"/>
      <c r="E2" s="8"/>
    </row>
    <row r="4" spans="1:5">
      <c r="A4" s="5" t="s">
        <v>1409</v>
      </c>
      <c r="B4" s="5" t="s">
        <v>1410</v>
      </c>
      <c r="C4" s="5" t="s">
        <v>4</v>
      </c>
      <c r="D4" s="5" t="s">
        <v>1411</v>
      </c>
      <c r="E4" s="5" t="s">
        <v>1412</v>
      </c>
    </row>
    <row r="5" spans="1:5">
      <c r="A5" s="3" t="s">
        <v>705</v>
      </c>
      <c r="B5" s="3" t="s">
        <v>1413</v>
      </c>
      <c r="C5" s="3" t="s">
        <v>1414</v>
      </c>
      <c r="D5" s="3" t="s">
        <v>1415</v>
      </c>
      <c r="E5" s="3" t="s">
        <v>1416</v>
      </c>
    </row>
    <row r="6" spans="1:5" ht="28">
      <c r="A6" s="3" t="s">
        <v>419</v>
      </c>
      <c r="B6" s="3" t="s">
        <v>1417</v>
      </c>
      <c r="C6" s="3" t="s">
        <v>1418</v>
      </c>
      <c r="D6" s="3" t="s">
        <v>1419</v>
      </c>
      <c r="E6" s="3" t="s">
        <v>1420</v>
      </c>
    </row>
    <row r="7" spans="1:5">
      <c r="A7" s="3" t="s">
        <v>321</v>
      </c>
      <c r="B7" s="3" t="s">
        <v>1421</v>
      </c>
      <c r="C7" s="3" t="s">
        <v>323</v>
      </c>
      <c r="D7" s="3" t="s">
        <v>1422</v>
      </c>
      <c r="E7" s="3" t="s">
        <v>1423</v>
      </c>
    </row>
    <row r="8" spans="1:5">
      <c r="A8" s="3" t="s">
        <v>1105</v>
      </c>
      <c r="B8" s="3" t="s">
        <v>1424</v>
      </c>
      <c r="C8" s="3" t="s">
        <v>1425</v>
      </c>
      <c r="D8" s="3" t="s">
        <v>1426</v>
      </c>
      <c r="E8" s="3" t="s">
        <v>1427</v>
      </c>
    </row>
    <row r="9" spans="1:5" ht="28">
      <c r="A9" s="3" t="s">
        <v>606</v>
      </c>
      <c r="B9" s="3" t="s">
        <v>1428</v>
      </c>
      <c r="C9" s="3" t="s">
        <v>1429</v>
      </c>
      <c r="D9" s="3" t="s">
        <v>1430</v>
      </c>
      <c r="E9" s="3" t="s">
        <v>1431</v>
      </c>
    </row>
    <row r="10" spans="1:5">
      <c r="A10" s="3" t="s">
        <v>178</v>
      </c>
      <c r="B10" s="3" t="s">
        <v>1432</v>
      </c>
      <c r="C10" s="3" t="s">
        <v>1433</v>
      </c>
      <c r="D10" s="3" t="s">
        <v>1434</v>
      </c>
      <c r="E10" s="3" t="s">
        <v>1435</v>
      </c>
    </row>
    <row r="11" spans="1:5">
      <c r="A11" s="3" t="s">
        <v>1436</v>
      </c>
      <c r="B11" s="3" t="s">
        <v>1437</v>
      </c>
      <c r="C11" s="3" t="s">
        <v>451</v>
      </c>
      <c r="D11" s="3" t="s">
        <v>1438</v>
      </c>
      <c r="E11" s="3" t="s">
        <v>1439</v>
      </c>
    </row>
    <row r="12" spans="1:5">
      <c r="A12" s="3" t="s">
        <v>1440</v>
      </c>
      <c r="B12" s="3" t="s">
        <v>1441</v>
      </c>
      <c r="C12" s="3" t="s">
        <v>1442</v>
      </c>
      <c r="D12" s="3" t="s">
        <v>1443</v>
      </c>
      <c r="E12" s="3" t="s">
        <v>1444</v>
      </c>
    </row>
    <row r="13" spans="1:5">
      <c r="A13" s="3" t="s">
        <v>1445</v>
      </c>
      <c r="B13" s="3" t="s">
        <v>1446</v>
      </c>
      <c r="C13" s="3" t="s">
        <v>478</v>
      </c>
      <c r="D13" s="3" t="s">
        <v>1447</v>
      </c>
      <c r="E13" s="3" t="s">
        <v>1448</v>
      </c>
    </row>
    <row r="14" spans="1:5">
      <c r="A14" s="3" t="s">
        <v>1449</v>
      </c>
      <c r="B14" s="3" t="s">
        <v>1450</v>
      </c>
      <c r="C14" s="3" t="s">
        <v>782</v>
      </c>
      <c r="D14" s="3" t="s">
        <v>1451</v>
      </c>
      <c r="E14" s="3" t="s">
        <v>1452</v>
      </c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5" t="s">
        <v>1453</v>
      </c>
      <c r="B17" s="5" t="s">
        <v>1454</v>
      </c>
      <c r="C17" s="5" t="s">
        <v>1455</v>
      </c>
      <c r="D17" s="3"/>
      <c r="E17" s="3"/>
    </row>
    <row r="18" spans="1:5" ht="28">
      <c r="A18" s="3" t="s">
        <v>1456</v>
      </c>
      <c r="B18" s="3" t="s">
        <v>139</v>
      </c>
      <c r="C18" s="3" t="s">
        <v>1457</v>
      </c>
      <c r="D18" s="3"/>
      <c r="E18" s="3"/>
    </row>
    <row r="19" spans="1:5" ht="28">
      <c r="A19" s="3" t="s">
        <v>1458</v>
      </c>
      <c r="B19" s="3" t="s">
        <v>91</v>
      </c>
      <c r="C19" s="3" t="s">
        <v>1459</v>
      </c>
      <c r="D19" s="3"/>
      <c r="E19" s="3"/>
    </row>
    <row r="20" spans="1:5" ht="42">
      <c r="A20" s="3" t="s">
        <v>1460</v>
      </c>
      <c r="B20" s="3" t="s">
        <v>139</v>
      </c>
      <c r="C20" s="3" t="s">
        <v>1461</v>
      </c>
      <c r="D20" s="3"/>
      <c r="E20" s="3"/>
    </row>
    <row r="21" spans="1:5" ht="28">
      <c r="A21" s="3" t="s">
        <v>1462</v>
      </c>
      <c r="B21" s="3" t="s">
        <v>139</v>
      </c>
      <c r="C21" s="3" t="s">
        <v>1463</v>
      </c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  <row r="38" spans="1:5">
      <c r="A38" s="3"/>
      <c r="B38" s="3"/>
      <c r="C38" s="3"/>
      <c r="D38" s="3"/>
      <c r="E38" s="3"/>
    </row>
    <row r="39" spans="1:5">
      <c r="A39" s="3"/>
      <c r="B39" s="3"/>
      <c r="C39" s="3"/>
      <c r="D39" s="3"/>
      <c r="E39" s="3"/>
    </row>
    <row r="40" spans="1:5">
      <c r="A40" s="3"/>
      <c r="B40" s="3"/>
      <c r="C40" s="3"/>
      <c r="D40" s="3"/>
      <c r="E40" s="3"/>
    </row>
    <row r="41" spans="1:5">
      <c r="A41" s="3"/>
      <c r="B41" s="3"/>
      <c r="C41" s="3"/>
      <c r="D41" s="3"/>
      <c r="E41" s="3"/>
    </row>
    <row r="42" spans="1:5">
      <c r="A42" s="3"/>
      <c r="B42" s="3"/>
      <c r="C42" s="3"/>
      <c r="D42" s="3"/>
      <c r="E42" s="3"/>
    </row>
    <row r="43" spans="1:5">
      <c r="A43" s="3"/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spans="1:5">
      <c r="A46" s="3"/>
      <c r="B46" s="3"/>
      <c r="C46" s="3"/>
      <c r="D46" s="3"/>
      <c r="E46" s="3"/>
    </row>
    <row r="47" spans="1:5">
      <c r="A47" s="3"/>
      <c r="B47" s="3"/>
      <c r="C47" s="3"/>
      <c r="D47" s="3"/>
      <c r="E47" s="3"/>
    </row>
    <row r="48" spans="1:5">
      <c r="A48" s="3"/>
      <c r="B48" s="3"/>
      <c r="C48" s="3"/>
      <c r="D48" s="3"/>
      <c r="E48" s="3"/>
    </row>
    <row r="49" spans="1:5">
      <c r="A49" s="3"/>
      <c r="B49" s="3"/>
      <c r="C49" s="3"/>
      <c r="D49" s="3"/>
      <c r="E49" s="3"/>
    </row>
    <row r="50" spans="1:5">
      <c r="A50" s="3"/>
      <c r="B50" s="3"/>
      <c r="C50" s="3"/>
      <c r="D50" s="3"/>
      <c r="E50" s="3"/>
    </row>
    <row r="51" spans="1:5">
      <c r="A51" s="3"/>
      <c r="B51" s="3"/>
      <c r="C51" s="3"/>
      <c r="D51" s="3"/>
      <c r="E51" s="3"/>
    </row>
    <row r="52" spans="1:5">
      <c r="A52" s="3"/>
      <c r="B52" s="3"/>
      <c r="C52" s="3"/>
      <c r="D52" s="3"/>
      <c r="E52" s="3"/>
    </row>
    <row r="53" spans="1:5">
      <c r="A53" s="3"/>
      <c r="B53" s="3"/>
      <c r="C53" s="3"/>
      <c r="D53" s="3"/>
      <c r="E53" s="3"/>
    </row>
    <row r="54" spans="1:5">
      <c r="A54" s="3"/>
      <c r="B54" s="3"/>
      <c r="C54" s="3"/>
      <c r="D54" s="3"/>
      <c r="E54" s="3"/>
    </row>
    <row r="55" spans="1:5">
      <c r="A55" s="3"/>
      <c r="B55" s="3"/>
      <c r="C55" s="3"/>
      <c r="D55" s="3"/>
      <c r="E55" s="3"/>
    </row>
    <row r="56" spans="1:5">
      <c r="A56" s="3"/>
      <c r="B56" s="3"/>
      <c r="C56" s="3"/>
      <c r="D56" s="3"/>
      <c r="E56" s="3"/>
    </row>
    <row r="57" spans="1:5">
      <c r="A57" s="3"/>
      <c r="B57" s="3"/>
      <c r="C57" s="3"/>
      <c r="D57" s="3"/>
      <c r="E57" s="3"/>
    </row>
    <row r="58" spans="1:5">
      <c r="A58" s="3"/>
      <c r="B58" s="3"/>
      <c r="C58" s="3"/>
      <c r="D58" s="3"/>
      <c r="E58" s="3"/>
    </row>
    <row r="59" spans="1:5">
      <c r="A59" s="3"/>
      <c r="B59" s="3"/>
      <c r="C59" s="3"/>
      <c r="D59" s="3"/>
      <c r="E59" s="3"/>
    </row>
    <row r="60" spans="1:5">
      <c r="A60" s="3"/>
      <c r="B60" s="3"/>
      <c r="C60" s="3"/>
      <c r="D60" s="3"/>
      <c r="E60" s="3"/>
    </row>
    <row r="61" spans="1:5">
      <c r="A61" s="3"/>
      <c r="B61" s="3"/>
      <c r="C61" s="3"/>
      <c r="D61" s="3"/>
      <c r="E61" s="3"/>
    </row>
    <row r="62" spans="1:5">
      <c r="A62" s="3"/>
      <c r="B62" s="3"/>
      <c r="C62" s="3"/>
      <c r="D62" s="3"/>
      <c r="E62" s="3"/>
    </row>
    <row r="63" spans="1:5">
      <c r="A63" s="3"/>
      <c r="B63" s="3"/>
      <c r="C63" s="3"/>
      <c r="D63" s="3"/>
      <c r="E63" s="3"/>
    </row>
    <row r="64" spans="1:5">
      <c r="A64" s="3"/>
      <c r="B64" s="3"/>
      <c r="C64" s="3"/>
      <c r="D64" s="3"/>
      <c r="E64" s="3"/>
    </row>
    <row r="65" spans="1:5">
      <c r="A65" s="3"/>
      <c r="B65" s="3"/>
      <c r="C65" s="3"/>
      <c r="D65" s="3"/>
      <c r="E65" s="3"/>
    </row>
    <row r="66" spans="1:5">
      <c r="A66" s="3"/>
      <c r="B66" s="3"/>
      <c r="C66" s="3"/>
      <c r="D66" s="3"/>
      <c r="E66" s="3"/>
    </row>
    <row r="67" spans="1:5">
      <c r="A67" s="3"/>
      <c r="B67" s="3"/>
      <c r="C67" s="3"/>
      <c r="D67" s="3"/>
      <c r="E67" s="3"/>
    </row>
    <row r="68" spans="1:5">
      <c r="A68" s="3"/>
      <c r="B68" s="3"/>
      <c r="C68" s="3"/>
      <c r="D68" s="3"/>
      <c r="E68" s="3"/>
    </row>
    <row r="69" spans="1:5">
      <c r="A69" s="3"/>
      <c r="B69" s="3"/>
      <c r="C69" s="3"/>
      <c r="D69" s="3"/>
      <c r="E69" s="3"/>
    </row>
    <row r="70" spans="1:5">
      <c r="A70" s="3"/>
      <c r="B70" s="3"/>
      <c r="C70" s="3"/>
      <c r="D70" s="3"/>
      <c r="E70" s="3"/>
    </row>
    <row r="71" spans="1:5">
      <c r="A71" s="3"/>
      <c r="B71" s="3"/>
      <c r="C71" s="3"/>
      <c r="D71" s="3"/>
      <c r="E71" s="3"/>
    </row>
    <row r="72" spans="1:5">
      <c r="A72" s="3"/>
      <c r="B72" s="3"/>
      <c r="C72" s="3"/>
      <c r="D72" s="3"/>
      <c r="E72" s="3"/>
    </row>
    <row r="73" spans="1:5">
      <c r="A73" s="3"/>
      <c r="B73" s="3"/>
      <c r="C73" s="3"/>
      <c r="D73" s="3"/>
      <c r="E73" s="3"/>
    </row>
    <row r="74" spans="1:5">
      <c r="A74" s="3"/>
      <c r="B74" s="3"/>
      <c r="C74" s="3"/>
      <c r="D74" s="3"/>
      <c r="E74" s="3"/>
    </row>
    <row r="75" spans="1:5">
      <c r="A75" s="3"/>
      <c r="B75" s="3"/>
      <c r="C75" s="3"/>
      <c r="D75" s="3"/>
      <c r="E75" s="3"/>
    </row>
    <row r="76" spans="1:5">
      <c r="A76" s="3"/>
      <c r="B76" s="3"/>
      <c r="C76" s="3"/>
      <c r="D76" s="3"/>
      <c r="E76" s="3"/>
    </row>
    <row r="77" spans="1:5">
      <c r="A77" s="3"/>
      <c r="B77" s="3"/>
      <c r="C77" s="3"/>
      <c r="D77" s="3"/>
      <c r="E77" s="3"/>
    </row>
    <row r="78" spans="1:5">
      <c r="A78" s="3"/>
      <c r="B78" s="3"/>
      <c r="C78" s="3"/>
      <c r="D78" s="3"/>
      <c r="E78" s="3"/>
    </row>
    <row r="79" spans="1:5">
      <c r="A79" s="3"/>
      <c r="B79" s="3"/>
      <c r="C79" s="3"/>
      <c r="D79" s="3"/>
      <c r="E79" s="3"/>
    </row>
    <row r="80" spans="1:5">
      <c r="A80" s="3"/>
      <c r="B80" s="3"/>
      <c r="C80" s="3"/>
      <c r="D80" s="3"/>
      <c r="E80" s="3"/>
    </row>
    <row r="81" spans="1:5">
      <c r="A81" s="3"/>
      <c r="B81" s="3"/>
      <c r="C81" s="3"/>
      <c r="D81" s="3"/>
      <c r="E81" s="3"/>
    </row>
    <row r="82" spans="1:5">
      <c r="A82" s="3"/>
      <c r="B82" s="3"/>
      <c r="C82" s="3"/>
      <c r="D82" s="3"/>
      <c r="E82" s="3"/>
    </row>
    <row r="83" spans="1:5">
      <c r="A83" s="3"/>
      <c r="B83" s="3"/>
      <c r="C83" s="3"/>
      <c r="D83" s="3"/>
      <c r="E83" s="3"/>
    </row>
    <row r="84" spans="1:5">
      <c r="A84" s="3"/>
      <c r="B84" s="3"/>
      <c r="C84" s="3"/>
      <c r="D84" s="3"/>
      <c r="E84" s="3"/>
    </row>
    <row r="85" spans="1:5">
      <c r="A85" s="3"/>
      <c r="B85" s="3"/>
      <c r="C85" s="3"/>
      <c r="D85" s="3"/>
      <c r="E85" s="3"/>
    </row>
    <row r="86" spans="1:5">
      <c r="A86" s="3"/>
      <c r="B86" s="3"/>
      <c r="C86" s="3"/>
      <c r="D86" s="3"/>
      <c r="E86" s="3"/>
    </row>
    <row r="87" spans="1:5">
      <c r="A87" s="3"/>
      <c r="B87" s="3"/>
      <c r="C87" s="3"/>
      <c r="D87" s="3"/>
      <c r="E87" s="3"/>
    </row>
    <row r="88" spans="1:5">
      <c r="A88" s="3"/>
      <c r="B88" s="3"/>
      <c r="C88" s="3"/>
      <c r="D88" s="3"/>
      <c r="E88" s="3"/>
    </row>
    <row r="89" spans="1:5">
      <c r="A89" s="3"/>
      <c r="B89" s="3"/>
      <c r="C89" s="3"/>
      <c r="D89" s="3"/>
      <c r="E89" s="3"/>
    </row>
    <row r="90" spans="1:5">
      <c r="A90" s="3"/>
      <c r="B90" s="3"/>
      <c r="C90" s="3"/>
      <c r="D90" s="3"/>
      <c r="E90" s="3"/>
    </row>
    <row r="91" spans="1:5">
      <c r="A91" s="3"/>
      <c r="B91" s="3"/>
      <c r="C91" s="3"/>
      <c r="D91" s="3"/>
      <c r="E91" s="3"/>
    </row>
    <row r="92" spans="1:5">
      <c r="A92" s="3"/>
      <c r="B92" s="3"/>
      <c r="C92" s="3"/>
      <c r="D92" s="3"/>
      <c r="E92" s="3"/>
    </row>
    <row r="93" spans="1:5">
      <c r="A93" s="3"/>
      <c r="B93" s="3"/>
      <c r="C93" s="3"/>
      <c r="D93" s="3"/>
      <c r="E93" s="3"/>
    </row>
    <row r="94" spans="1:5">
      <c r="A94" s="3"/>
      <c r="B94" s="3"/>
      <c r="C94" s="3"/>
      <c r="D94" s="3"/>
      <c r="E94" s="3"/>
    </row>
    <row r="95" spans="1:5">
      <c r="A95" s="3"/>
      <c r="B95" s="3"/>
      <c r="C95" s="3"/>
      <c r="D95" s="3"/>
      <c r="E95" s="3"/>
    </row>
    <row r="96" spans="1:5">
      <c r="A96" s="3"/>
      <c r="B96" s="3"/>
      <c r="C96" s="3"/>
      <c r="D96" s="3"/>
      <c r="E96" s="3"/>
    </row>
    <row r="97" spans="1:5">
      <c r="A97" s="3"/>
      <c r="B97" s="3"/>
      <c r="C97" s="3"/>
      <c r="D97" s="3"/>
      <c r="E97" s="3"/>
    </row>
    <row r="98" spans="1:5">
      <c r="A98" s="3"/>
      <c r="B98" s="3"/>
      <c r="C98" s="3"/>
      <c r="D98" s="3"/>
      <c r="E98" s="3"/>
    </row>
    <row r="99" spans="1:5">
      <c r="A99" s="3"/>
      <c r="B99" s="3"/>
      <c r="C99" s="3"/>
      <c r="D99" s="3"/>
      <c r="E99" s="3"/>
    </row>
    <row r="100" spans="1:5">
      <c r="A100" s="3"/>
      <c r="B100" s="3"/>
      <c r="C100" s="3"/>
      <c r="D100" s="3"/>
      <c r="E100" s="3"/>
    </row>
  </sheetData>
  <mergeCells count="2">
    <mergeCell ref="A1:E1"/>
    <mergeCell ref="A2:E2"/>
  </mergeCell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7"/>
  <sheetViews>
    <sheetView workbookViewId="0"/>
  </sheetViews>
  <sheetFormatPr defaultRowHeight="14"/>
  <cols>
    <col min="1" max="1" width="22" customWidth="1"/>
    <col min="2" max="2" width="18" customWidth="1"/>
    <col min="3" max="3" width="34" customWidth="1"/>
    <col min="4" max="4" width="14" customWidth="1"/>
  </cols>
  <sheetData>
    <row r="1" spans="1:4">
      <c r="A1" s="1" t="s">
        <v>62</v>
      </c>
      <c r="B1" s="1" t="s">
        <v>63</v>
      </c>
      <c r="C1" s="1" t="s">
        <v>1464</v>
      </c>
      <c r="D1" s="1" t="s">
        <v>1465</v>
      </c>
    </row>
    <row r="2" spans="1:4">
      <c r="A2" t="s">
        <v>79</v>
      </c>
      <c r="B2" t="s">
        <v>42</v>
      </c>
      <c r="C2" t="s">
        <v>1466</v>
      </c>
      <c r="D2">
        <v>15</v>
      </c>
    </row>
    <row r="3" spans="1:4">
      <c r="A3" t="s">
        <v>94</v>
      </c>
      <c r="B3" t="s">
        <v>48</v>
      </c>
      <c r="C3" t="s">
        <v>1467</v>
      </c>
      <c r="D3">
        <v>8</v>
      </c>
    </row>
    <row r="4" spans="1:4">
      <c r="A4" t="s">
        <v>106</v>
      </c>
      <c r="B4" t="s">
        <v>54</v>
      </c>
      <c r="C4" t="s">
        <v>1468</v>
      </c>
      <c r="D4">
        <v>0</v>
      </c>
    </row>
    <row r="5" spans="1:4">
      <c r="A5" t="s">
        <v>119</v>
      </c>
      <c r="C5" t="s">
        <v>1469</v>
      </c>
      <c r="D5">
        <v>20</v>
      </c>
    </row>
    <row r="6" spans="1:4">
      <c r="A6" t="s">
        <v>131</v>
      </c>
      <c r="C6" t="s">
        <v>1470</v>
      </c>
      <c r="D6">
        <v>10</v>
      </c>
    </row>
    <row r="7" spans="1:4">
      <c r="A7" t="s">
        <v>142</v>
      </c>
      <c r="C7" t="s">
        <v>1471</v>
      </c>
      <c r="D7">
        <v>30</v>
      </c>
    </row>
    <row r="8" spans="1:4">
      <c r="A8" t="s">
        <v>152</v>
      </c>
      <c r="D8">
        <v>25</v>
      </c>
    </row>
    <row r="9" spans="1:4">
      <c r="A9" t="s">
        <v>160</v>
      </c>
    </row>
    <row r="10" spans="1:4">
      <c r="A10" t="s">
        <v>169</v>
      </c>
    </row>
    <row r="11" spans="1:4">
      <c r="A11" t="s">
        <v>177</v>
      </c>
    </row>
    <row r="12" spans="1:4">
      <c r="A12" t="s">
        <v>189</v>
      </c>
    </row>
    <row r="13" spans="1:4">
      <c r="A13" t="s">
        <v>201</v>
      </c>
    </row>
    <row r="14" spans="1:4">
      <c r="A14" t="s">
        <v>211</v>
      </c>
    </row>
    <row r="15" spans="1:4">
      <c r="A15" t="s">
        <v>220</v>
      </c>
    </row>
    <row r="16" spans="1:4">
      <c r="A16" t="s">
        <v>225</v>
      </c>
    </row>
    <row r="17" spans="1:1">
      <c r="A17" t="s">
        <v>235</v>
      </c>
    </row>
    <row r="18" spans="1:1">
      <c r="A18" t="s">
        <v>245</v>
      </c>
    </row>
    <row r="19" spans="1:1">
      <c r="A19" t="s">
        <v>255</v>
      </c>
    </row>
    <row r="20" spans="1:1">
      <c r="A20" t="s">
        <v>266</v>
      </c>
    </row>
    <row r="21" spans="1:1">
      <c r="A21" t="s">
        <v>276</v>
      </c>
    </row>
    <row r="22" spans="1:1">
      <c r="A22" t="s">
        <v>286</v>
      </c>
    </row>
    <row r="23" spans="1:1">
      <c r="A23" t="s">
        <v>294</v>
      </c>
    </row>
    <row r="24" spans="1:1">
      <c r="A24" t="s">
        <v>303</v>
      </c>
    </row>
    <row r="25" spans="1:1">
      <c r="A25" t="s">
        <v>311</v>
      </c>
    </row>
    <row r="26" spans="1:1">
      <c r="A26" t="s">
        <v>320</v>
      </c>
    </row>
    <row r="27" spans="1:1">
      <c r="A27" t="s">
        <v>327</v>
      </c>
    </row>
    <row r="28" spans="1:1">
      <c r="A28" t="s">
        <v>335</v>
      </c>
    </row>
    <row r="29" spans="1:1">
      <c r="A29" t="s">
        <v>343</v>
      </c>
    </row>
    <row r="30" spans="1:1">
      <c r="A30" t="s">
        <v>351</v>
      </c>
    </row>
    <row r="31" spans="1:1">
      <c r="A31" t="s">
        <v>359</v>
      </c>
    </row>
    <row r="32" spans="1:1">
      <c r="A32" t="s">
        <v>367</v>
      </c>
    </row>
    <row r="33" spans="1:1">
      <c r="A33" t="s">
        <v>374</v>
      </c>
    </row>
    <row r="34" spans="1:1">
      <c r="A34" t="s">
        <v>384</v>
      </c>
    </row>
    <row r="35" spans="1:1">
      <c r="A35" t="s">
        <v>393</v>
      </c>
    </row>
    <row r="36" spans="1:1">
      <c r="A36" t="s">
        <v>402</v>
      </c>
    </row>
    <row r="37" spans="1:1">
      <c r="A37" t="s">
        <v>410</v>
      </c>
    </row>
    <row r="38" spans="1:1">
      <c r="A38" t="s">
        <v>418</v>
      </c>
    </row>
    <row r="39" spans="1:1">
      <c r="A39" t="s">
        <v>426</v>
      </c>
    </row>
    <row r="40" spans="1:1">
      <c r="A40" t="s">
        <v>434</v>
      </c>
    </row>
    <row r="41" spans="1:1">
      <c r="A41" t="s">
        <v>441</v>
      </c>
    </row>
    <row r="42" spans="1:1">
      <c r="A42" t="s">
        <v>448</v>
      </c>
    </row>
    <row r="43" spans="1:1">
      <c r="A43" t="s">
        <v>456</v>
      </c>
    </row>
    <row r="44" spans="1:1">
      <c r="A44" t="s">
        <v>462</v>
      </c>
    </row>
    <row r="45" spans="1:1">
      <c r="A45" t="s">
        <v>468</v>
      </c>
    </row>
    <row r="46" spans="1:1">
      <c r="A46" t="s">
        <v>475</v>
      </c>
    </row>
    <row r="47" spans="1:1">
      <c r="A47" t="s">
        <v>484</v>
      </c>
    </row>
    <row r="48" spans="1:1">
      <c r="A48" t="s">
        <v>493</v>
      </c>
    </row>
    <row r="49" spans="1:1">
      <c r="A49" t="s">
        <v>503</v>
      </c>
    </row>
    <row r="50" spans="1:1">
      <c r="A50" t="s">
        <v>510</v>
      </c>
    </row>
    <row r="51" spans="1:1">
      <c r="A51" t="s">
        <v>517</v>
      </c>
    </row>
    <row r="52" spans="1:1">
      <c r="A52" t="s">
        <v>524</v>
      </c>
    </row>
    <row r="53" spans="1:1">
      <c r="A53" t="s">
        <v>532</v>
      </c>
    </row>
    <row r="54" spans="1:1">
      <c r="A54" t="s">
        <v>539</v>
      </c>
    </row>
    <row r="55" spans="1:1">
      <c r="A55" t="s">
        <v>547</v>
      </c>
    </row>
    <row r="56" spans="1:1">
      <c r="A56" t="s">
        <v>557</v>
      </c>
    </row>
    <row r="57" spans="1:1">
      <c r="A57" t="s">
        <v>566</v>
      </c>
    </row>
    <row r="58" spans="1:1">
      <c r="A58" t="s">
        <v>573</v>
      </c>
    </row>
    <row r="59" spans="1:1">
      <c r="A59" t="s">
        <v>581</v>
      </c>
    </row>
    <row r="60" spans="1:1">
      <c r="A60" t="s">
        <v>589</v>
      </c>
    </row>
    <row r="61" spans="1:1">
      <c r="A61" t="s">
        <v>597</v>
      </c>
    </row>
    <row r="62" spans="1:1">
      <c r="A62" t="s">
        <v>605</v>
      </c>
    </row>
    <row r="63" spans="1:1">
      <c r="A63" t="s">
        <v>614</v>
      </c>
    </row>
    <row r="64" spans="1:1">
      <c r="A64" t="s">
        <v>622</v>
      </c>
    </row>
    <row r="65" spans="1:1">
      <c r="A65" t="s">
        <v>630</v>
      </c>
    </row>
    <row r="66" spans="1:1">
      <c r="A66" t="s">
        <v>636</v>
      </c>
    </row>
    <row r="67" spans="1:1">
      <c r="A67" t="s">
        <v>643</v>
      </c>
    </row>
    <row r="68" spans="1:1">
      <c r="A68" t="s">
        <v>651</v>
      </c>
    </row>
    <row r="69" spans="1:1">
      <c r="A69" t="s">
        <v>658</v>
      </c>
    </row>
    <row r="70" spans="1:1">
      <c r="A70" t="s">
        <v>664</v>
      </c>
    </row>
    <row r="71" spans="1:1">
      <c r="A71" t="s">
        <v>674</v>
      </c>
    </row>
    <row r="72" spans="1:1">
      <c r="A72" t="s">
        <v>682</v>
      </c>
    </row>
    <row r="73" spans="1:1">
      <c r="A73" t="s">
        <v>690</v>
      </c>
    </row>
    <row r="74" spans="1:1">
      <c r="A74" t="s">
        <v>697</v>
      </c>
    </row>
    <row r="75" spans="1:1">
      <c r="A75" t="s">
        <v>704</v>
      </c>
    </row>
    <row r="76" spans="1:1">
      <c r="A76" t="s">
        <v>710</v>
      </c>
    </row>
    <row r="77" spans="1:1">
      <c r="A77" t="s">
        <v>715</v>
      </c>
    </row>
    <row r="78" spans="1:1">
      <c r="A78" t="s">
        <v>721</v>
      </c>
    </row>
    <row r="79" spans="1:1">
      <c r="A79" t="s">
        <v>729</v>
      </c>
    </row>
    <row r="80" spans="1:1">
      <c r="A80" t="s">
        <v>738</v>
      </c>
    </row>
    <row r="81" spans="1:1">
      <c r="A81" t="s">
        <v>746</v>
      </c>
    </row>
    <row r="82" spans="1:1">
      <c r="A82" t="s">
        <v>754</v>
      </c>
    </row>
    <row r="83" spans="1:1">
      <c r="A83" t="s">
        <v>762</v>
      </c>
    </row>
    <row r="84" spans="1:1">
      <c r="A84" t="s">
        <v>770</v>
      </c>
    </row>
    <row r="85" spans="1:1">
      <c r="A85" t="s">
        <v>778</v>
      </c>
    </row>
    <row r="86" spans="1:1">
      <c r="A86" t="s">
        <v>788</v>
      </c>
    </row>
    <row r="87" spans="1:1">
      <c r="A87" t="s">
        <v>795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04"/>
  <sheetViews>
    <sheetView workbookViewId="0">
      <selection activeCell="A5" sqref="A5"/>
    </sheetView>
  </sheetViews>
  <sheetFormatPr defaultRowHeight="14"/>
  <cols>
    <col min="1" max="1" width="24" customWidth="1"/>
    <col min="2" max="2" width="18" customWidth="1"/>
    <col min="3" max="3" width="24" customWidth="1"/>
    <col min="4" max="4" width="14" customWidth="1"/>
    <col min="5" max="5" width="32" customWidth="1"/>
    <col min="6" max="6" width="18" customWidth="1"/>
    <col min="7" max="7" width="20" customWidth="1"/>
    <col min="8" max="8" width="16" customWidth="1"/>
    <col min="9" max="9" width="28" customWidth="1"/>
    <col min="10" max="10" width="34" customWidth="1"/>
    <col min="11" max="11" width="18" customWidth="1"/>
    <col min="12" max="12" width="24" customWidth="1"/>
    <col min="13" max="13" width="16" customWidth="1"/>
    <col min="14" max="14" width="28" customWidth="1"/>
    <col min="15" max="15" width="48" customWidth="1"/>
    <col min="16" max="16" width="18" customWidth="1"/>
    <col min="17" max="17" width="28" customWidth="1"/>
    <col min="18" max="19" width="18" customWidth="1"/>
    <col min="20" max="20" width="20" customWidth="1"/>
    <col min="21" max="23" width="18" customWidth="1"/>
    <col min="24" max="24" width="12" customWidth="1"/>
    <col min="25" max="25" width="16" customWidth="1"/>
    <col min="26" max="26" width="18" customWidth="1"/>
    <col min="27" max="27" width="16" customWidth="1"/>
    <col min="28" max="28" width="18" customWidth="1"/>
    <col min="29" max="29" width="14" customWidth="1"/>
    <col min="30" max="30" width="16" customWidth="1"/>
    <col min="31" max="31" width="36" customWidth="1"/>
  </cols>
  <sheetData>
    <row r="1" spans="1:31" ht="23">
      <c r="A1" s="7" t="s">
        <v>1472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1:31">
      <c r="A2" s="9" t="s">
        <v>1473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4" spans="1:31" ht="28" customHeight="1">
      <c r="A4" s="2" t="s">
        <v>98</v>
      </c>
      <c r="B4" s="2" t="s">
        <v>36</v>
      </c>
      <c r="C4" s="2" t="s">
        <v>1474</v>
      </c>
      <c r="D4" s="2" t="s">
        <v>62</v>
      </c>
      <c r="E4" s="2" t="s">
        <v>64</v>
      </c>
      <c r="F4" s="2" t="s">
        <v>23</v>
      </c>
      <c r="G4" s="2" t="s">
        <v>1475</v>
      </c>
      <c r="H4" s="2" t="s">
        <v>68</v>
      </c>
      <c r="I4" s="2" t="s">
        <v>4</v>
      </c>
      <c r="J4" s="2" t="s">
        <v>70</v>
      </c>
      <c r="K4" s="2" t="s">
        <v>71</v>
      </c>
      <c r="L4" s="2" t="s">
        <v>72</v>
      </c>
      <c r="M4" s="2" t="s">
        <v>73</v>
      </c>
      <c r="N4" s="2" t="s">
        <v>1476</v>
      </c>
      <c r="O4" s="2" t="s">
        <v>1477</v>
      </c>
      <c r="P4" s="2" t="s">
        <v>1478</v>
      </c>
      <c r="Q4" s="2" t="s">
        <v>1464</v>
      </c>
      <c r="R4" s="2" t="s">
        <v>1479</v>
      </c>
      <c r="S4" s="2" t="s">
        <v>1480</v>
      </c>
      <c r="T4" s="2" t="s">
        <v>1481</v>
      </c>
      <c r="U4" s="2" t="s">
        <v>1482</v>
      </c>
      <c r="V4" s="2" t="s">
        <v>1483</v>
      </c>
      <c r="W4" s="2" t="s">
        <v>1484</v>
      </c>
      <c r="X4" s="2" t="s">
        <v>1485</v>
      </c>
      <c r="Y4" s="2" t="s">
        <v>1486</v>
      </c>
      <c r="Z4" s="2" t="s">
        <v>1487</v>
      </c>
      <c r="AA4" s="2" t="s">
        <v>1488</v>
      </c>
      <c r="AB4" s="2" t="s">
        <v>1489</v>
      </c>
      <c r="AC4" s="2" t="s">
        <v>1398</v>
      </c>
      <c r="AD4" s="2" t="s">
        <v>1490</v>
      </c>
      <c r="AE4" s="2" t="s">
        <v>1491</v>
      </c>
    </row>
    <row r="5" spans="1:31">
      <c r="A5" s="4" t="s">
        <v>1492</v>
      </c>
      <c r="B5" s="4" t="s">
        <v>48</v>
      </c>
      <c r="C5" s="4" t="s">
        <v>1493</v>
      </c>
      <c r="D5" s="4" t="s">
        <v>79</v>
      </c>
      <c r="E5" s="4" t="str">
        <f>IFERROR(VLOOKUP($D5,'02 Status'!$A:$R,4,FALSE),"")</f>
        <v>Primeiro contato pendente</v>
      </c>
      <c r="F5" s="4" t="str">
        <f>IFERROR(VLOOKUP($D5,'02 Status'!$A:$R,3,FALSE),"")</f>
        <v>Contato</v>
      </c>
      <c r="G5" s="4" t="str">
        <f>IFERROR(VLOOKUP($D5,'02 Status'!$A:$R,7,FALSE),"")</f>
        <v>Vendedor</v>
      </c>
      <c r="H5" s="4" t="str">
        <f>IFERROR(VLOOKUP($D5,'02 Status'!$A:$R,8,FALSE),"")</f>
        <v>Morno</v>
      </c>
      <c r="I5" s="4" t="str">
        <f>IFERROR(VLOOKUP($D5,'02 Status'!$A:$R,9,FALSE),"")</f>
        <v>Iniciar conversa</v>
      </c>
      <c r="J5" s="4" t="str">
        <f>IFERROR(VLOOKUP($D5,'02 Status'!$A:$R,10,FALSE),"")</f>
        <v>Enviar primeira abordagem</v>
      </c>
      <c r="K5" s="4" t="str">
        <f>IFERROR(VLOOKUP($D5,'02 Status'!$A:$R,11,FALSE),"")</f>
        <v>CAD-01</v>
      </c>
      <c r="L5" s="4" t="str">
        <f>IFERROR(VLOOKUP($D5,'02 Status'!$A:$R,12,FALSE),"")</f>
        <v>SCR-INT-CAD01-T1</v>
      </c>
      <c r="M5" s="4" t="str">
        <f>IFERROR(VLOOKUP($D5,'02 Status'!$A:$R,13,FALSE),"")</f>
        <v>Baixo</v>
      </c>
      <c r="N5" s="4" t="str">
        <f>IFERROR(VLOOKUP($D5,'02 Status'!$A:$R,14,FALSE),"")</f>
        <v>Próxima ação hoje</v>
      </c>
      <c r="O5" s="4" t="str">
        <f>IFERROR(VLOOKUP($D5,'02 Status'!$A:$R,16,FALSE),"")</f>
        <v>O objetivo é iniciar conversa sem parecer cobrança.</v>
      </c>
      <c r="P5" s="6">
        <v>46233.989372372685</v>
      </c>
      <c r="Q5" s="4" t="s">
        <v>1468</v>
      </c>
      <c r="R5" s="4">
        <f t="shared" ref="R5:R36" si="0">IF(Q5="Cliente respondeu e aguarda vendedor",100,IF(Q5="Ação vencida",95,IF(Q5="Ação hoje",90,IF(Q5="Ação amanhã",75,IF(Q5="Até 3 dias",55,25)))))</f>
        <v>90</v>
      </c>
      <c r="S5" s="4">
        <v>15</v>
      </c>
      <c r="T5" s="4">
        <v>20</v>
      </c>
      <c r="U5" s="4">
        <v>25</v>
      </c>
      <c r="V5" s="4">
        <v>20</v>
      </c>
      <c r="W5" s="4">
        <v>15</v>
      </c>
      <c r="X5" s="4">
        <f t="shared" ref="X5:X36" si="1">SUM(S5:W5)</f>
        <v>95</v>
      </c>
      <c r="Y5" s="4" t="str">
        <f t="shared" ref="Y5:Y36" si="2">IF(X5&gt;=90,"Excelente",IF(X5&gt;=75,"Boa",IF(X5&gt;=50,"Atenção","Crítica")))</f>
        <v>Excelente</v>
      </c>
      <c r="Z5" s="4">
        <f t="shared" ref="Z5:Z36" si="3">IF(M5="Muito alto",100,IF(M5="Alto",75,IF(M5="Médio",50,25)))</f>
        <v>25</v>
      </c>
      <c r="AA5" s="4">
        <f t="shared" ref="AA5:AA36" si="4">100-X5</f>
        <v>5</v>
      </c>
      <c r="AB5" s="4">
        <f t="shared" ref="AB5:AB36" si="5">ROUND(0.45*R5+0.35*Z5+0.2*AA5,0)</f>
        <v>50</v>
      </c>
      <c r="AC5" s="4" t="str">
        <f t="shared" ref="AC5:AC36" si="6">IF(AB5&gt;=85,"Máxima",IF(AB5&gt;=70,"Alta",IF(AB5&gt;=50,"Média","Baixa")))</f>
        <v>Média</v>
      </c>
      <c r="AD5" s="4" t="str">
        <f t="shared" ref="AD5:AD36" si="7">IF(OR(Q5="Cliente respondeu e aguarda vendedor",Q5="Ação vencida",Q5="Ação hoje"),"Sim","Não")</f>
        <v>Sim</v>
      </c>
      <c r="AE5" s="4" t="s">
        <v>1494</v>
      </c>
    </row>
    <row r="6" spans="1:31" ht="28">
      <c r="A6" s="4" t="s">
        <v>1495</v>
      </c>
      <c r="B6" s="4" t="s">
        <v>48</v>
      </c>
      <c r="C6" s="4" t="s">
        <v>1496</v>
      </c>
      <c r="D6" s="4" t="s">
        <v>220</v>
      </c>
      <c r="E6" s="4" t="str">
        <f>IFERROR(VLOOKUP($D6,'02 Status'!$A:$R,4,FALSE),"")</f>
        <v>Cliente quente sem visita</v>
      </c>
      <c r="F6" s="4" t="str">
        <f>IFERROR(VLOOKUP($D6,'02 Status'!$A:$R,3,FALSE),"")</f>
        <v>Qualificação</v>
      </c>
      <c r="G6" s="4" t="str">
        <f>IFERROR(VLOOKUP($D6,'02 Status'!$A:$R,7,FALSE),"")</f>
        <v>Vendedor</v>
      </c>
      <c r="H6" s="4" t="str">
        <f>IFERROR(VLOOKUP($D6,'02 Status'!$A:$R,8,FALSE),"")</f>
        <v>Quente</v>
      </c>
      <c r="I6" s="4" t="str">
        <f>IFERROR(VLOOKUP($D6,'02 Status'!$A:$R,9,FALSE),"")</f>
        <v>Gerar visita</v>
      </c>
      <c r="J6" s="4" t="str">
        <f>IFERROR(VLOOKUP($D6,'02 Status'!$A:$R,10,FALSE),"")</f>
        <v>Convidar para visita</v>
      </c>
      <c r="K6" s="4" t="str">
        <f>IFERROR(VLOOKUP($D6,'02 Status'!$A:$R,11,FALSE),"")</f>
        <v>CAD-02</v>
      </c>
      <c r="L6" s="4" t="str">
        <f>IFERROR(VLOOKUP($D6,'02 Status'!$A:$R,12,FALSE),"")</f>
        <v>SCR-VISITA-CAD02-T1</v>
      </c>
      <c r="M6" s="4" t="str">
        <f>IFERROR(VLOOKUP($D6,'02 Status'!$A:$R,13,FALSE),"")</f>
        <v>Alto</v>
      </c>
      <c r="N6" s="4" t="str">
        <f>IFERROR(VLOOKUP($D6,'02 Status'!$A:$R,14,FALSE),"")</f>
        <v>Tentativa vence hoje</v>
      </c>
      <c r="O6" s="4" t="str">
        <f>IFERROR(VLOOKUP($D6,'02 Status'!$A:$R,16,FALSE),"")</f>
        <v>Cliente tem intenção. O próximo avanço é presença na loja.</v>
      </c>
      <c r="P6" s="6">
        <v>46233.989372372685</v>
      </c>
      <c r="Q6" s="4" t="s">
        <v>1468</v>
      </c>
      <c r="R6" s="4">
        <f t="shared" si="0"/>
        <v>90</v>
      </c>
      <c r="S6" s="4">
        <v>15</v>
      </c>
      <c r="T6" s="4">
        <v>20</v>
      </c>
      <c r="U6" s="4">
        <v>30</v>
      </c>
      <c r="V6" s="4">
        <v>20</v>
      </c>
      <c r="W6" s="4">
        <v>15</v>
      </c>
      <c r="X6" s="4">
        <f t="shared" si="1"/>
        <v>100</v>
      </c>
      <c r="Y6" s="4" t="str">
        <f t="shared" si="2"/>
        <v>Excelente</v>
      </c>
      <c r="Z6" s="4">
        <f t="shared" si="3"/>
        <v>75</v>
      </c>
      <c r="AA6" s="4">
        <f t="shared" si="4"/>
        <v>0</v>
      </c>
      <c r="AB6" s="4">
        <f t="shared" si="5"/>
        <v>67</v>
      </c>
      <c r="AC6" s="4" t="str">
        <f t="shared" si="6"/>
        <v>Média</v>
      </c>
      <c r="AD6" s="4" t="str">
        <f t="shared" si="7"/>
        <v>Sim</v>
      </c>
      <c r="AE6" s="4" t="s">
        <v>1497</v>
      </c>
    </row>
    <row r="7" spans="1:31" ht="28">
      <c r="A7" s="4" t="s">
        <v>1498</v>
      </c>
      <c r="B7" s="4" t="s">
        <v>48</v>
      </c>
      <c r="C7" s="4" t="s">
        <v>1499</v>
      </c>
      <c r="D7" s="4" t="s">
        <v>235</v>
      </c>
      <c r="E7" s="4" t="str">
        <f>IFERROR(VLOOKUP($D7,'02 Status'!$A:$R,4,FALSE),"")</f>
        <v>Visita agendada</v>
      </c>
      <c r="F7" s="4" t="str">
        <f>IFERROR(VLOOKUP($D7,'02 Status'!$A:$R,3,FALSE),"")</f>
        <v>Visita</v>
      </c>
      <c r="G7" s="4" t="str">
        <f>IFERROR(VLOOKUP($D7,'02 Status'!$A:$R,7,FALSE),"")</f>
        <v>Data</v>
      </c>
      <c r="H7" s="4" t="str">
        <f>IFERROR(VLOOKUP($D7,'02 Status'!$A:$R,8,FALSE),"")</f>
        <v>Quente</v>
      </c>
      <c r="I7" s="4" t="str">
        <f>IFERROR(VLOOKUP($D7,'02 Status'!$A:$R,9,FALSE),"")</f>
        <v>Preservar compromisso</v>
      </c>
      <c r="J7" s="4" t="str">
        <f>IFERROR(VLOOKUP($D7,'02 Status'!$A:$R,10,FALSE),"")</f>
        <v>Aguardar janela de confirmação</v>
      </c>
      <c r="K7" s="4" t="str">
        <f>IFERROR(VLOOKUP($D7,'02 Status'!$A:$R,11,FALSE),"")</f>
        <v>Derivada pela data</v>
      </c>
      <c r="L7" s="4" t="str">
        <f>IFERROR(VLOOKUP($D7,'02 Status'!$A:$R,12,FALSE),"")</f>
        <v>SCR-CONFIRMAR-D2</v>
      </c>
      <c r="M7" s="4" t="str">
        <f>IFERROR(VLOOKUP($D7,'02 Status'!$A:$R,13,FALSE),"")</f>
        <v>Alto</v>
      </c>
      <c r="N7" s="4" t="str">
        <f>IFERROR(VLOOKUP($D7,'02 Status'!$A:$R,14,FALSE),"")</f>
        <v>Somente quando entrar D-2/D-1/D0</v>
      </c>
      <c r="O7" s="4" t="str">
        <f>IFERROR(VLOOKUP($D7,'02 Status'!$A:$R,16,FALSE),"")</f>
        <v>Visita futura cadastrada fortalece a carteira, mas só vira Central no dia/janela certa.</v>
      </c>
      <c r="P7" s="6">
        <v>46238.989372372685</v>
      </c>
      <c r="Q7" s="4" t="s">
        <v>1471</v>
      </c>
      <c r="R7" s="4">
        <f t="shared" si="0"/>
        <v>25</v>
      </c>
      <c r="S7" s="4">
        <v>15</v>
      </c>
      <c r="T7" s="4">
        <v>20</v>
      </c>
      <c r="U7" s="4">
        <v>30</v>
      </c>
      <c r="V7" s="4">
        <v>20</v>
      </c>
      <c r="W7" s="4">
        <v>15</v>
      </c>
      <c r="X7" s="4">
        <f t="shared" si="1"/>
        <v>100</v>
      </c>
      <c r="Y7" s="4" t="str">
        <f t="shared" si="2"/>
        <v>Excelente</v>
      </c>
      <c r="Z7" s="4">
        <f t="shared" si="3"/>
        <v>75</v>
      </c>
      <c r="AA7" s="4">
        <f t="shared" si="4"/>
        <v>0</v>
      </c>
      <c r="AB7" s="4">
        <f t="shared" si="5"/>
        <v>38</v>
      </c>
      <c r="AC7" s="4" t="str">
        <f t="shared" si="6"/>
        <v>Baixa</v>
      </c>
      <c r="AD7" s="4" t="str">
        <f t="shared" si="7"/>
        <v>Não</v>
      </c>
      <c r="AE7" s="4" t="s">
        <v>1500</v>
      </c>
    </row>
    <row r="8" spans="1:31" ht="28">
      <c r="A8" s="4" t="s">
        <v>1501</v>
      </c>
      <c r="B8" s="4" t="s">
        <v>48</v>
      </c>
      <c r="C8" s="4" t="s">
        <v>1502</v>
      </c>
      <c r="D8" s="4" t="s">
        <v>320</v>
      </c>
      <c r="E8" s="4" t="str">
        <f>IFERROR(VLOOKUP($D8,'02 Status'!$A:$R,4,FALSE),"")</f>
        <v>Proposta sem retorno</v>
      </c>
      <c r="F8" s="4" t="str">
        <f>IFERROR(VLOOKUP($D8,'02 Status'!$A:$R,3,FALSE),"")</f>
        <v>Negociação</v>
      </c>
      <c r="G8" s="4" t="str">
        <f>IFERROR(VLOOKUP($D8,'02 Status'!$A:$R,7,FALSE),"")</f>
        <v>Vendedor</v>
      </c>
      <c r="H8" s="4" t="str">
        <f>IFERROR(VLOOKUP($D8,'02 Status'!$A:$R,8,FALSE),"")</f>
        <v>Quente</v>
      </c>
      <c r="I8" s="4" t="str">
        <f>IFERROR(VLOOKUP($D8,'02 Status'!$A:$R,9,FALSE),"")</f>
        <v>Recuperar decisão</v>
      </c>
      <c r="J8" s="4" t="str">
        <f>IFERROR(VLOOKUP($D8,'02 Status'!$A:$R,10,FALSE),"")</f>
        <v>Retomar proposta</v>
      </c>
      <c r="K8" s="4" t="str">
        <f>IFERROR(VLOOKUP($D8,'02 Status'!$A:$R,11,FALSE),"")</f>
        <v>CAD-03</v>
      </c>
      <c r="L8" s="4" t="str">
        <f>IFERROR(VLOOKUP($D8,'02 Status'!$A:$R,12,FALSE),"")</f>
        <v>SCR-PROPOSTA-CAD03-T1</v>
      </c>
      <c r="M8" s="4" t="str">
        <f>IFERROR(VLOOKUP($D8,'02 Status'!$A:$R,13,FALSE),"")</f>
        <v>Alto</v>
      </c>
      <c r="N8" s="4" t="str">
        <f>IFERROR(VLOOKUP($D8,'02 Status'!$A:$R,14,FALSE),"")</f>
        <v>Hoje</v>
      </c>
      <c r="O8" s="4" t="str">
        <f>IFERROR(VLOOKUP($D8,'02 Status'!$A:$R,16,FALSE),"")</f>
        <v>Retome a proposta para descobrir o ponto de trava.</v>
      </c>
      <c r="P8" s="6">
        <v>46233.989372372685</v>
      </c>
      <c r="Q8" s="4" t="s">
        <v>1467</v>
      </c>
      <c r="R8" s="4">
        <f t="shared" si="0"/>
        <v>95</v>
      </c>
      <c r="S8" s="4">
        <v>15</v>
      </c>
      <c r="T8" s="4">
        <v>20</v>
      </c>
      <c r="U8" s="4">
        <v>10</v>
      </c>
      <c r="V8" s="4">
        <v>10</v>
      </c>
      <c r="W8" s="4">
        <v>8</v>
      </c>
      <c r="X8" s="4">
        <f t="shared" si="1"/>
        <v>63</v>
      </c>
      <c r="Y8" s="4" t="str">
        <f t="shared" si="2"/>
        <v>Atenção</v>
      </c>
      <c r="Z8" s="4">
        <f t="shared" si="3"/>
        <v>75</v>
      </c>
      <c r="AA8" s="4">
        <f t="shared" si="4"/>
        <v>37</v>
      </c>
      <c r="AB8" s="4">
        <f t="shared" si="5"/>
        <v>76</v>
      </c>
      <c r="AC8" s="4" t="str">
        <f t="shared" si="6"/>
        <v>Alta</v>
      </c>
      <c r="AD8" s="4" t="str">
        <f t="shared" si="7"/>
        <v>Sim</v>
      </c>
      <c r="AE8" s="4" t="s">
        <v>1503</v>
      </c>
    </row>
    <row r="9" spans="1:31" ht="28">
      <c r="A9" s="4" t="s">
        <v>1504</v>
      </c>
      <c r="B9" s="4" t="s">
        <v>48</v>
      </c>
      <c r="C9" s="4" t="s">
        <v>1493</v>
      </c>
      <c r="D9" s="4" t="s">
        <v>605</v>
      </c>
      <c r="E9" s="4" t="str">
        <f>IFERROR(VLOOKUP($D9,'02 Status'!$A:$R,4,FALSE),"")</f>
        <v>Financiamento aprovado sem fechamento</v>
      </c>
      <c r="F9" s="4" t="str">
        <f>IFERROR(VLOOKUP($D9,'02 Status'!$A:$R,3,FALSE),"")</f>
        <v>Financiamento</v>
      </c>
      <c r="G9" s="4" t="str">
        <f>IFERROR(VLOOKUP($D9,'02 Status'!$A:$R,7,FALSE),"")</f>
        <v>Vendedor</v>
      </c>
      <c r="H9" s="4" t="str">
        <f>IFERROR(VLOOKUP($D9,'02 Status'!$A:$R,8,FALSE),"")</f>
        <v>Quente</v>
      </c>
      <c r="I9" s="4" t="str">
        <f>IFERROR(VLOOKUP($D9,'02 Status'!$A:$R,9,FALSE),"")</f>
        <v>Converter aprovação</v>
      </c>
      <c r="J9" s="4" t="str">
        <f>IFERROR(VLOOKUP($D9,'02 Status'!$A:$R,10,FALSE),"")</f>
        <v>Conduzir para fechamento</v>
      </c>
      <c r="K9" s="4" t="str">
        <f>IFERROR(VLOOKUP($D9,'02 Status'!$A:$R,11,FALSE),"")</f>
        <v>CAD-09</v>
      </c>
      <c r="L9" s="4" t="str">
        <f>IFERROR(VLOOKUP($D9,'02 Status'!$A:$R,12,FALSE),"")</f>
        <v>SCR-FIN-APROVADO-T1</v>
      </c>
      <c r="M9" s="4" t="str">
        <f>IFERROR(VLOOKUP($D9,'02 Status'!$A:$R,13,FALSE),"")</f>
        <v>Muito alto</v>
      </c>
      <c r="N9" s="4" t="str">
        <f>IFERROR(VLOOKUP($D9,'02 Status'!$A:$R,14,FALSE),"")</f>
        <v>Hoje</v>
      </c>
      <c r="O9" s="4" t="str">
        <f>IFERROR(VLOOKUP($D9,'02 Status'!$A:$R,16,FALSE),"")</f>
        <v>Aprovação reduz barreira. Prioridade alta de fechamento.</v>
      </c>
      <c r="P9" s="6">
        <v>46233.989372372685</v>
      </c>
      <c r="Q9" s="4" t="s">
        <v>1468</v>
      </c>
      <c r="R9" s="4">
        <f t="shared" si="0"/>
        <v>90</v>
      </c>
      <c r="S9" s="4">
        <v>15</v>
      </c>
      <c r="T9" s="4">
        <v>20</v>
      </c>
      <c r="U9" s="4">
        <v>25</v>
      </c>
      <c r="V9" s="4">
        <v>20</v>
      </c>
      <c r="W9" s="4">
        <v>15</v>
      </c>
      <c r="X9" s="4">
        <f t="shared" si="1"/>
        <v>95</v>
      </c>
      <c r="Y9" s="4" t="str">
        <f t="shared" si="2"/>
        <v>Excelente</v>
      </c>
      <c r="Z9" s="4">
        <f t="shared" si="3"/>
        <v>100</v>
      </c>
      <c r="AA9" s="4">
        <f t="shared" si="4"/>
        <v>5</v>
      </c>
      <c r="AB9" s="4">
        <f t="shared" si="5"/>
        <v>77</v>
      </c>
      <c r="AC9" s="4" t="str">
        <f t="shared" si="6"/>
        <v>Alta</v>
      </c>
      <c r="AD9" s="4" t="str">
        <f t="shared" si="7"/>
        <v>Sim</v>
      </c>
      <c r="AE9" s="4" t="s">
        <v>1505</v>
      </c>
    </row>
    <row r="10" spans="1:31">
      <c r="A10" s="4" t="s">
        <v>1506</v>
      </c>
      <c r="B10" s="4" t="s">
        <v>42</v>
      </c>
      <c r="C10" s="4" t="s">
        <v>1507</v>
      </c>
      <c r="D10" s="4" t="s">
        <v>418</v>
      </c>
      <c r="E10" s="4" t="str">
        <f>IFERROR(VLOOKUP($D10,'02 Status'!$A:$R,4,FALSE),"")</f>
        <v>Visitou e não comprou</v>
      </c>
      <c r="F10" s="4" t="str">
        <f>IFERROR(VLOOKUP($D10,'02 Status'!$A:$R,3,FALSE),"")</f>
        <v>Negociação</v>
      </c>
      <c r="G10" s="4" t="str">
        <f>IFERROR(VLOOKUP($D10,'02 Status'!$A:$R,7,FALSE),"")</f>
        <v>Vendedor</v>
      </c>
      <c r="H10" s="4" t="str">
        <f>IFERROR(VLOOKUP($D10,'02 Status'!$A:$R,8,FALSE),"")</f>
        <v>Quente</v>
      </c>
      <c r="I10" s="4" t="str">
        <f>IFERROR(VLOOKUP($D10,'02 Status'!$A:$R,9,FALSE),"")</f>
        <v>Manter negociação viva</v>
      </c>
      <c r="J10" s="4" t="str">
        <f>IFERROR(VLOOKUP($D10,'02 Status'!$A:$R,10,FALSE),"")</f>
        <v>Enviar resumo e retomar conversa</v>
      </c>
      <c r="K10" s="4" t="str">
        <f>IFERROR(VLOOKUP($D10,'02 Status'!$A:$R,11,FALSE),"")</f>
        <v>CAD-03</v>
      </c>
      <c r="L10" s="4" t="str">
        <f>IFERROR(VLOOKUP($D10,'02 Status'!$A:$R,12,FALSE),"")</f>
        <v>SCR-POS-VISITA-01</v>
      </c>
      <c r="M10" s="4" t="str">
        <f>IFERROR(VLOOKUP($D10,'02 Status'!$A:$R,13,FALSE),"")</f>
        <v>Alto</v>
      </c>
      <c r="N10" s="4" t="str">
        <f>IFERROR(VLOOKUP($D10,'02 Status'!$A:$R,14,FALSE),"")</f>
        <v>Hoje</v>
      </c>
      <c r="O10" s="4" t="str">
        <f>IFERROR(VLOOKUP($D10,'02 Status'!$A:$R,16,FALSE),"")</f>
        <v>A visita já aconteceu; agora o foco é recuperar decisão.</v>
      </c>
      <c r="P10" s="6">
        <v>46233.989372372685</v>
      </c>
      <c r="Q10" s="4" t="s">
        <v>1468</v>
      </c>
      <c r="R10" s="4">
        <f t="shared" si="0"/>
        <v>90</v>
      </c>
      <c r="S10" s="4">
        <v>15</v>
      </c>
      <c r="T10" s="4">
        <v>20</v>
      </c>
      <c r="U10" s="4">
        <v>30</v>
      </c>
      <c r="V10" s="4">
        <v>20</v>
      </c>
      <c r="W10" s="4">
        <v>15</v>
      </c>
      <c r="X10" s="4">
        <f t="shared" si="1"/>
        <v>100</v>
      </c>
      <c r="Y10" s="4" t="str">
        <f t="shared" si="2"/>
        <v>Excelente</v>
      </c>
      <c r="Z10" s="4">
        <f t="shared" si="3"/>
        <v>75</v>
      </c>
      <c r="AA10" s="4">
        <f t="shared" si="4"/>
        <v>0</v>
      </c>
      <c r="AB10" s="4">
        <f t="shared" si="5"/>
        <v>67</v>
      </c>
      <c r="AC10" s="4" t="str">
        <f t="shared" si="6"/>
        <v>Média</v>
      </c>
      <c r="AD10" s="4" t="str">
        <f t="shared" si="7"/>
        <v>Sim</v>
      </c>
      <c r="AE10" s="4" t="s">
        <v>1508</v>
      </c>
    </row>
    <row r="11" spans="1:31">
      <c r="A11" s="4" t="s">
        <v>1509</v>
      </c>
      <c r="B11" s="4" t="s">
        <v>48</v>
      </c>
      <c r="C11" s="4" t="s">
        <v>1510</v>
      </c>
      <c r="D11" s="4" t="s">
        <v>493</v>
      </c>
      <c r="E11" s="4" t="str">
        <f>IFERROR(VLOOKUP($D11,'02 Status'!$A:$R,4,FALSE),"")</f>
        <v>Aguardando dados do carro da troca</v>
      </c>
      <c r="F11" s="4" t="str">
        <f>IFERROR(VLOOKUP($D11,'02 Status'!$A:$R,3,FALSE),"")</f>
        <v>Troca</v>
      </c>
      <c r="G11" s="4" t="str">
        <f>IFERROR(VLOOKUP($D11,'02 Status'!$A:$R,7,FALSE),"")</f>
        <v>Cliente</v>
      </c>
      <c r="H11" s="4" t="str">
        <f>IFERROR(VLOOKUP($D11,'02 Status'!$A:$R,8,FALSE),"")</f>
        <v>Quente</v>
      </c>
      <c r="I11" s="4" t="str">
        <f>IFERROR(VLOOKUP($D11,'02 Status'!$A:$R,9,FALSE),"")</f>
        <v>Obter informações</v>
      </c>
      <c r="J11" s="4" t="str">
        <f>IFERROR(VLOOKUP($D11,'02 Status'!$A:$R,10,FALSE),"")</f>
        <v>Solicitar placa, versão, ano, km e fotos</v>
      </c>
      <c r="K11" s="4" t="str">
        <f>IFERROR(VLOOKUP($D11,'02 Status'!$A:$R,11,FALSE),"")</f>
        <v>CAD-08</v>
      </c>
      <c r="L11" s="4" t="str">
        <f>IFERROR(VLOOKUP($D11,'02 Status'!$A:$R,12,FALSE),"")</f>
        <v>SCR-TROCA-DADOS-T1</v>
      </c>
      <c r="M11" s="4" t="str">
        <f>IFERROR(VLOOKUP($D11,'02 Status'!$A:$R,13,FALSE),"")</f>
        <v>Alto</v>
      </c>
      <c r="N11" s="4" t="str">
        <f>IFERROR(VLOOKUP($D11,'02 Status'!$A:$R,14,FALSE),"")</f>
        <v>Tentativa vence hoje</v>
      </c>
      <c r="O11" s="4" t="str">
        <f>IFERROR(VLOOKUP($D11,'02 Status'!$A:$R,16,FALSE),"")</f>
        <v>Solicite dados antes de estimar valor.</v>
      </c>
      <c r="P11" s="6">
        <v>46233.989372372685</v>
      </c>
      <c r="Q11" s="4" t="s">
        <v>1468</v>
      </c>
      <c r="R11" s="4">
        <f t="shared" si="0"/>
        <v>90</v>
      </c>
      <c r="S11" s="4">
        <v>15</v>
      </c>
      <c r="T11" s="4">
        <v>20</v>
      </c>
      <c r="U11" s="4">
        <v>30</v>
      </c>
      <c r="V11" s="4">
        <v>20</v>
      </c>
      <c r="W11" s="4">
        <v>8</v>
      </c>
      <c r="X11" s="4">
        <f t="shared" si="1"/>
        <v>93</v>
      </c>
      <c r="Y11" s="4" t="str">
        <f t="shared" si="2"/>
        <v>Excelente</v>
      </c>
      <c r="Z11" s="4">
        <f t="shared" si="3"/>
        <v>75</v>
      </c>
      <c r="AA11" s="4">
        <f t="shared" si="4"/>
        <v>7</v>
      </c>
      <c r="AB11" s="4">
        <f t="shared" si="5"/>
        <v>68</v>
      </c>
      <c r="AC11" s="4" t="str">
        <f t="shared" si="6"/>
        <v>Média</v>
      </c>
      <c r="AD11" s="4" t="str">
        <f t="shared" si="7"/>
        <v>Sim</v>
      </c>
      <c r="AE11" s="4" t="s">
        <v>1511</v>
      </c>
    </row>
    <row r="12" spans="1:31" ht="28">
      <c r="A12" s="4" t="s">
        <v>1512</v>
      </c>
      <c r="B12" s="4" t="s">
        <v>54</v>
      </c>
      <c r="C12" s="4" t="s">
        <v>1436</v>
      </c>
      <c r="D12" s="4" t="s">
        <v>448</v>
      </c>
      <c r="E12" s="4" t="str">
        <f>IFERROR(VLOOKUP($D12,'02 Status'!$A:$R,4,FALSE),"")</f>
        <v>Cliente antigo — reativação pendente</v>
      </c>
      <c r="F12" s="4" t="str">
        <f>IFERROR(VLOOKUP($D12,'02 Status'!$A:$R,3,FALSE),"")</f>
        <v>Contato</v>
      </c>
      <c r="G12" s="4" t="str">
        <f>IFERROR(VLOOKUP($D12,'02 Status'!$A:$R,7,FALSE),"")</f>
        <v>Vendedor</v>
      </c>
      <c r="H12" s="4" t="str">
        <f>IFERROR(VLOOKUP($D12,'02 Status'!$A:$R,8,FALSE),"")</f>
        <v>Frio/Morno</v>
      </c>
      <c r="I12" s="4" t="str">
        <f>IFERROR(VLOOKUP($D12,'02 Status'!$A:$R,9,FALSE),"")</f>
        <v>Retomar relacionamento</v>
      </c>
      <c r="J12" s="4" t="str">
        <f>IFERROR(VLOOKUP($D12,'02 Status'!$A:$R,10,FALSE),"")</f>
        <v>Fazer abordagem de reativação</v>
      </c>
      <c r="K12" s="4" t="str">
        <f>IFERROR(VLOOKUP($D12,'02 Status'!$A:$R,11,FALSE),"")</f>
        <v>CAD-03</v>
      </c>
      <c r="L12" s="4" t="str">
        <f>IFERROR(VLOOKUP($D12,'02 Status'!$A:$R,12,FALSE),"")</f>
        <v>SCR-CAR-REATIVACAO-T1</v>
      </c>
      <c r="M12" s="4" t="str">
        <f>IFERROR(VLOOKUP($D12,'02 Status'!$A:$R,13,FALSE),"")</f>
        <v>Médio</v>
      </c>
      <c r="N12" s="4" t="str">
        <f>IFERROR(VLOOKUP($D12,'02 Status'!$A:$R,14,FALSE),"")</f>
        <v>Tentativa vence hoje</v>
      </c>
      <c r="O12" s="4" t="str">
        <f>IFERROR(VLOOKUP($D12,'02 Status'!$A:$R,16,FALSE),"")</f>
        <v>Retomar histórico antes de tentar vender.</v>
      </c>
      <c r="P12" s="6">
        <v>46236.989372372685</v>
      </c>
      <c r="Q12" s="4" t="s">
        <v>1470</v>
      </c>
      <c r="R12" s="4">
        <f t="shared" si="0"/>
        <v>55</v>
      </c>
      <c r="S12" s="4">
        <v>15</v>
      </c>
      <c r="T12" s="4">
        <v>20</v>
      </c>
      <c r="U12" s="4">
        <v>30</v>
      </c>
      <c r="V12" s="4">
        <v>20</v>
      </c>
      <c r="W12" s="4">
        <v>15</v>
      </c>
      <c r="X12" s="4">
        <f t="shared" si="1"/>
        <v>100</v>
      </c>
      <c r="Y12" s="4" t="str">
        <f t="shared" si="2"/>
        <v>Excelente</v>
      </c>
      <c r="Z12" s="4">
        <f t="shared" si="3"/>
        <v>50</v>
      </c>
      <c r="AA12" s="4">
        <f t="shared" si="4"/>
        <v>0</v>
      </c>
      <c r="AB12" s="4">
        <f t="shared" si="5"/>
        <v>42</v>
      </c>
      <c r="AC12" s="4" t="str">
        <f t="shared" si="6"/>
        <v>Baixa</v>
      </c>
      <c r="AD12" s="4" t="str">
        <f t="shared" si="7"/>
        <v>Não</v>
      </c>
      <c r="AE12" s="4" t="s">
        <v>1513</v>
      </c>
    </row>
    <row r="13" spans="1:31">
      <c r="A13" s="4" t="s">
        <v>1514</v>
      </c>
      <c r="B13" s="4" t="s">
        <v>54</v>
      </c>
      <c r="C13" s="4" t="s">
        <v>689</v>
      </c>
      <c r="D13" s="4" t="s">
        <v>729</v>
      </c>
      <c r="E13" s="4" t="str">
        <f>IFERROR(VLOOKUP($D13,'02 Status'!$A:$R,4,FALSE),"")</f>
        <v>Pós-venda D+7</v>
      </c>
      <c r="F13" s="4" t="str">
        <f>IFERROR(VLOOKUP($D13,'02 Status'!$A:$R,3,FALSE),"")</f>
        <v>Relacionamento</v>
      </c>
      <c r="G13" s="4" t="str">
        <f>IFERROR(VLOOKUP($D13,'02 Status'!$A:$R,7,FALSE),"")</f>
        <v>Vendedor</v>
      </c>
      <c r="H13" s="4" t="str">
        <f>IFERROR(VLOOKUP($D13,'02 Status'!$A:$R,8,FALSE),"")</f>
        <v>-</v>
      </c>
      <c r="I13" s="4" t="str">
        <f>IFERROR(VLOOKUP($D13,'02 Status'!$A:$R,9,FALSE),"")</f>
        <v>Verificar satisfação</v>
      </c>
      <c r="J13" s="4" t="str">
        <f>IFERROR(VLOOKUP($D13,'02 Status'!$A:$R,10,FALSE),"")</f>
        <v>Fazer contato e pedir indicação</v>
      </c>
      <c r="K13" s="4" t="str">
        <f>IFERROR(VLOOKUP($D13,'02 Status'!$A:$R,11,FALSE),"")</f>
        <v>CAD-13</v>
      </c>
      <c r="L13" s="4" t="str">
        <f>IFERROR(VLOOKUP($D13,'02 Status'!$A:$R,12,FALSE),"")</f>
        <v>SCR-POSVENDA-D7</v>
      </c>
      <c r="M13" s="4" t="str">
        <f>IFERROR(VLOOKUP($D13,'02 Status'!$A:$R,13,FALSE),"")</f>
        <v>Médio</v>
      </c>
      <c r="N13" s="4" t="str">
        <f>IFERROR(VLOOKUP($D13,'02 Status'!$A:$R,14,FALSE),"")</f>
        <v>Quando marco vence</v>
      </c>
      <c r="O13" s="4" t="str">
        <f>IFERROR(VLOOKUP($D13,'02 Status'!$A:$R,16,FALSE),"")</f>
        <v>Relacionamento bem feito gera indicação.</v>
      </c>
      <c r="P13" s="6">
        <v>46233.989372372685</v>
      </c>
      <c r="Q13" s="4" t="s">
        <v>1468</v>
      </c>
      <c r="R13" s="4">
        <f t="shared" si="0"/>
        <v>90</v>
      </c>
      <c r="S13" s="4">
        <v>15</v>
      </c>
      <c r="T13" s="4">
        <v>20</v>
      </c>
      <c r="U13" s="4">
        <v>30</v>
      </c>
      <c r="V13" s="4">
        <v>20</v>
      </c>
      <c r="W13" s="4">
        <v>15</v>
      </c>
      <c r="X13" s="4">
        <f t="shared" si="1"/>
        <v>100</v>
      </c>
      <c r="Y13" s="4" t="str">
        <f t="shared" si="2"/>
        <v>Excelente</v>
      </c>
      <c r="Z13" s="4">
        <f t="shared" si="3"/>
        <v>50</v>
      </c>
      <c r="AA13" s="4">
        <f t="shared" si="4"/>
        <v>0</v>
      </c>
      <c r="AB13" s="4">
        <f t="shared" si="5"/>
        <v>58</v>
      </c>
      <c r="AC13" s="4" t="str">
        <f t="shared" si="6"/>
        <v>Média</v>
      </c>
      <c r="AD13" s="4" t="str">
        <f t="shared" si="7"/>
        <v>Sim</v>
      </c>
      <c r="AE13" s="4" t="s">
        <v>1515</v>
      </c>
    </row>
    <row r="14" spans="1:31">
      <c r="A14" s="4" t="s">
        <v>1516</v>
      </c>
      <c r="B14" s="4" t="s">
        <v>54</v>
      </c>
      <c r="C14" s="4" t="s">
        <v>1223</v>
      </c>
      <c r="D14" s="4" t="s">
        <v>778</v>
      </c>
      <c r="E14" s="4" t="str">
        <f>IFERROR(VLOOKUP($D14,'02 Status'!$A:$R,4,FALSE),"")</f>
        <v>Garantia aberta</v>
      </c>
      <c r="F14" s="4" t="str">
        <f>IFERROR(VLOOKUP($D14,'02 Status'!$A:$R,3,FALSE),"")</f>
        <v>Relacionamento</v>
      </c>
      <c r="G14" s="4" t="str">
        <f>IFERROR(VLOOKUP($D14,'02 Status'!$A:$R,7,FALSE),"")</f>
        <v>Vendedor/Loja</v>
      </c>
      <c r="H14" s="4" t="str">
        <f>IFERROR(VLOOKUP($D14,'02 Status'!$A:$R,8,FALSE),"")</f>
        <v>-</v>
      </c>
      <c r="I14" s="4" t="str">
        <f>IFERROR(VLOOKUP($D14,'02 Status'!$A:$R,9,FALSE),"")</f>
        <v>Proteger relacionamento</v>
      </c>
      <c r="J14" s="4" t="str">
        <f>IFERROR(VLOOKUP($D14,'02 Status'!$A:$R,10,FALSE),"")</f>
        <v>Confirmar recebimento e orientar</v>
      </c>
      <c r="K14" s="4" t="str">
        <f>IFERROR(VLOOKUP($D14,'02 Status'!$A:$R,11,FALSE),"")</f>
        <v>CAD-11</v>
      </c>
      <c r="L14" s="4" t="str">
        <f>IFERROR(VLOOKUP($D14,'02 Status'!$A:$R,12,FALSE),"")</f>
        <v>SCR-GARANTIA-01</v>
      </c>
      <c r="M14" s="4" t="str">
        <f>IFERROR(VLOOKUP($D14,'02 Status'!$A:$R,13,FALSE),"")</f>
        <v>Médio</v>
      </c>
      <c r="N14" s="4" t="str">
        <f>IFERROR(VLOOKUP($D14,'02 Status'!$A:$R,14,FALSE),"")</f>
        <v>Quando acompanhamento vence</v>
      </c>
      <c r="O14" s="4" t="str">
        <f>IFERROR(VLOOKUP($D14,'02 Status'!$A:$R,16,FALSE),"")</f>
        <v>Garantia é relação sensível, não apenas operação.</v>
      </c>
      <c r="P14" s="6">
        <v>46233.989372372685</v>
      </c>
      <c r="Q14" s="4" t="s">
        <v>1468</v>
      </c>
      <c r="R14" s="4">
        <f t="shared" si="0"/>
        <v>90</v>
      </c>
      <c r="S14" s="4">
        <v>15</v>
      </c>
      <c r="T14" s="4">
        <v>20</v>
      </c>
      <c r="U14" s="4">
        <v>25</v>
      </c>
      <c r="V14" s="4">
        <v>20</v>
      </c>
      <c r="W14" s="4">
        <v>15</v>
      </c>
      <c r="X14" s="4">
        <f t="shared" si="1"/>
        <v>95</v>
      </c>
      <c r="Y14" s="4" t="str">
        <f t="shared" si="2"/>
        <v>Excelente</v>
      </c>
      <c r="Z14" s="4">
        <f t="shared" si="3"/>
        <v>50</v>
      </c>
      <c r="AA14" s="4">
        <f t="shared" si="4"/>
        <v>5</v>
      </c>
      <c r="AB14" s="4">
        <f t="shared" si="5"/>
        <v>59</v>
      </c>
      <c r="AC14" s="4" t="str">
        <f t="shared" si="6"/>
        <v>Média</v>
      </c>
      <c r="AD14" s="4" t="str">
        <f t="shared" si="7"/>
        <v>Sim</v>
      </c>
      <c r="AE14" s="4" t="s">
        <v>1517</v>
      </c>
    </row>
    <row r="15" spans="1:31">
      <c r="A15" s="4"/>
      <c r="B15" s="4"/>
      <c r="C15" s="4"/>
      <c r="D15" s="4"/>
      <c r="E15" s="4" t="str">
        <f>IFERROR(VLOOKUP($D15,'02 Status'!$A:$R,4,FALSE),"")</f>
        <v/>
      </c>
      <c r="F15" s="4" t="str">
        <f>IFERROR(VLOOKUP($D15,'02 Status'!$A:$R,3,FALSE),"")</f>
        <v/>
      </c>
      <c r="G15" s="4" t="str">
        <f>IFERROR(VLOOKUP($D15,'02 Status'!$A:$R,7,FALSE),"")</f>
        <v/>
      </c>
      <c r="H15" s="4" t="str">
        <f>IFERROR(VLOOKUP($D15,'02 Status'!$A:$R,8,FALSE),"")</f>
        <v/>
      </c>
      <c r="I15" s="4" t="str">
        <f>IFERROR(VLOOKUP($D15,'02 Status'!$A:$R,9,FALSE),"")</f>
        <v/>
      </c>
      <c r="J15" s="4" t="str">
        <f>IFERROR(VLOOKUP($D15,'02 Status'!$A:$R,10,FALSE),"")</f>
        <v/>
      </c>
      <c r="K15" s="4" t="str">
        <f>IFERROR(VLOOKUP($D15,'02 Status'!$A:$R,11,FALSE),"")</f>
        <v/>
      </c>
      <c r="L15" s="4" t="str">
        <f>IFERROR(VLOOKUP($D15,'02 Status'!$A:$R,12,FALSE),"")</f>
        <v/>
      </c>
      <c r="M15" s="4" t="str">
        <f>IFERROR(VLOOKUP($D15,'02 Status'!$A:$R,13,FALSE),"")</f>
        <v/>
      </c>
      <c r="N15" s="4" t="str">
        <f>IFERROR(VLOOKUP($D15,'02 Status'!$A:$R,14,FALSE),"")</f>
        <v/>
      </c>
      <c r="O15" s="4" t="str">
        <f>IFERROR(VLOOKUP($D15,'02 Status'!$A:$R,16,FALSE),"")</f>
        <v/>
      </c>
      <c r="P15" s="6"/>
      <c r="Q15" s="4"/>
      <c r="R15" s="4">
        <f t="shared" si="0"/>
        <v>25</v>
      </c>
      <c r="S15" s="4"/>
      <c r="T15" s="4"/>
      <c r="U15" s="4"/>
      <c r="V15" s="4"/>
      <c r="W15" s="4"/>
      <c r="X15" s="4">
        <f t="shared" si="1"/>
        <v>0</v>
      </c>
      <c r="Y15" s="4" t="str">
        <f t="shared" si="2"/>
        <v>Crítica</v>
      </c>
      <c r="Z15" s="4">
        <f t="shared" si="3"/>
        <v>25</v>
      </c>
      <c r="AA15" s="4">
        <f t="shared" si="4"/>
        <v>100</v>
      </c>
      <c r="AB15" s="4">
        <f t="shared" si="5"/>
        <v>40</v>
      </c>
      <c r="AC15" s="4" t="str">
        <f t="shared" si="6"/>
        <v>Baixa</v>
      </c>
      <c r="AD15" s="4" t="str">
        <f t="shared" si="7"/>
        <v>Não</v>
      </c>
      <c r="AE15" s="4"/>
    </row>
    <row r="16" spans="1:31">
      <c r="A16" s="4"/>
      <c r="B16" s="4"/>
      <c r="C16" s="4"/>
      <c r="D16" s="4"/>
      <c r="E16" s="4" t="str">
        <f>IFERROR(VLOOKUP($D16,'02 Status'!$A:$R,4,FALSE),"")</f>
        <v/>
      </c>
      <c r="F16" s="4" t="str">
        <f>IFERROR(VLOOKUP($D16,'02 Status'!$A:$R,3,FALSE),"")</f>
        <v/>
      </c>
      <c r="G16" s="4" t="str">
        <f>IFERROR(VLOOKUP($D16,'02 Status'!$A:$R,7,FALSE),"")</f>
        <v/>
      </c>
      <c r="H16" s="4" t="str">
        <f>IFERROR(VLOOKUP($D16,'02 Status'!$A:$R,8,FALSE),"")</f>
        <v/>
      </c>
      <c r="I16" s="4" t="str">
        <f>IFERROR(VLOOKUP($D16,'02 Status'!$A:$R,9,FALSE),"")</f>
        <v/>
      </c>
      <c r="J16" s="4" t="str">
        <f>IFERROR(VLOOKUP($D16,'02 Status'!$A:$R,10,FALSE),"")</f>
        <v/>
      </c>
      <c r="K16" s="4" t="str">
        <f>IFERROR(VLOOKUP($D16,'02 Status'!$A:$R,11,FALSE),"")</f>
        <v/>
      </c>
      <c r="L16" s="4" t="str">
        <f>IFERROR(VLOOKUP($D16,'02 Status'!$A:$R,12,FALSE),"")</f>
        <v/>
      </c>
      <c r="M16" s="4" t="str">
        <f>IFERROR(VLOOKUP($D16,'02 Status'!$A:$R,13,FALSE),"")</f>
        <v/>
      </c>
      <c r="N16" s="4" t="str">
        <f>IFERROR(VLOOKUP($D16,'02 Status'!$A:$R,14,FALSE),"")</f>
        <v/>
      </c>
      <c r="O16" s="4" t="str">
        <f>IFERROR(VLOOKUP($D16,'02 Status'!$A:$R,16,FALSE),"")</f>
        <v/>
      </c>
      <c r="P16" s="6"/>
      <c r="Q16" s="4"/>
      <c r="R16" s="4">
        <f t="shared" si="0"/>
        <v>25</v>
      </c>
      <c r="S16" s="4"/>
      <c r="T16" s="4"/>
      <c r="U16" s="4"/>
      <c r="V16" s="4"/>
      <c r="W16" s="4"/>
      <c r="X16" s="4">
        <f t="shared" si="1"/>
        <v>0</v>
      </c>
      <c r="Y16" s="4" t="str">
        <f t="shared" si="2"/>
        <v>Crítica</v>
      </c>
      <c r="Z16" s="4">
        <f t="shared" si="3"/>
        <v>25</v>
      </c>
      <c r="AA16" s="4">
        <f t="shared" si="4"/>
        <v>100</v>
      </c>
      <c r="AB16" s="4">
        <f t="shared" si="5"/>
        <v>40</v>
      </c>
      <c r="AC16" s="4" t="str">
        <f t="shared" si="6"/>
        <v>Baixa</v>
      </c>
      <c r="AD16" s="4" t="str">
        <f t="shared" si="7"/>
        <v>Não</v>
      </c>
      <c r="AE16" s="4"/>
    </row>
    <row r="17" spans="1:31">
      <c r="A17" s="4"/>
      <c r="B17" s="4"/>
      <c r="C17" s="4"/>
      <c r="D17" s="4"/>
      <c r="E17" s="4" t="str">
        <f>IFERROR(VLOOKUP($D17,'02 Status'!$A:$R,4,FALSE),"")</f>
        <v/>
      </c>
      <c r="F17" s="4" t="str">
        <f>IFERROR(VLOOKUP($D17,'02 Status'!$A:$R,3,FALSE),"")</f>
        <v/>
      </c>
      <c r="G17" s="4" t="str">
        <f>IFERROR(VLOOKUP($D17,'02 Status'!$A:$R,7,FALSE),"")</f>
        <v/>
      </c>
      <c r="H17" s="4" t="str">
        <f>IFERROR(VLOOKUP($D17,'02 Status'!$A:$R,8,FALSE),"")</f>
        <v/>
      </c>
      <c r="I17" s="4" t="str">
        <f>IFERROR(VLOOKUP($D17,'02 Status'!$A:$R,9,FALSE),"")</f>
        <v/>
      </c>
      <c r="J17" s="4" t="str">
        <f>IFERROR(VLOOKUP($D17,'02 Status'!$A:$R,10,FALSE),"")</f>
        <v/>
      </c>
      <c r="K17" s="4" t="str">
        <f>IFERROR(VLOOKUP($D17,'02 Status'!$A:$R,11,FALSE),"")</f>
        <v/>
      </c>
      <c r="L17" s="4" t="str">
        <f>IFERROR(VLOOKUP($D17,'02 Status'!$A:$R,12,FALSE),"")</f>
        <v/>
      </c>
      <c r="M17" s="4" t="str">
        <f>IFERROR(VLOOKUP($D17,'02 Status'!$A:$R,13,FALSE),"")</f>
        <v/>
      </c>
      <c r="N17" s="4" t="str">
        <f>IFERROR(VLOOKUP($D17,'02 Status'!$A:$R,14,FALSE),"")</f>
        <v/>
      </c>
      <c r="O17" s="4" t="str">
        <f>IFERROR(VLOOKUP($D17,'02 Status'!$A:$R,16,FALSE),"")</f>
        <v/>
      </c>
      <c r="P17" s="6"/>
      <c r="Q17" s="4"/>
      <c r="R17" s="4">
        <f t="shared" si="0"/>
        <v>25</v>
      </c>
      <c r="S17" s="4"/>
      <c r="T17" s="4"/>
      <c r="U17" s="4"/>
      <c r="V17" s="4"/>
      <c r="W17" s="4"/>
      <c r="X17" s="4">
        <f t="shared" si="1"/>
        <v>0</v>
      </c>
      <c r="Y17" s="4" t="str">
        <f t="shared" si="2"/>
        <v>Crítica</v>
      </c>
      <c r="Z17" s="4">
        <f t="shared" si="3"/>
        <v>25</v>
      </c>
      <c r="AA17" s="4">
        <f t="shared" si="4"/>
        <v>100</v>
      </c>
      <c r="AB17" s="4">
        <f t="shared" si="5"/>
        <v>40</v>
      </c>
      <c r="AC17" s="4" t="str">
        <f t="shared" si="6"/>
        <v>Baixa</v>
      </c>
      <c r="AD17" s="4" t="str">
        <f t="shared" si="7"/>
        <v>Não</v>
      </c>
      <c r="AE17" s="4"/>
    </row>
    <row r="18" spans="1:31">
      <c r="A18" s="4"/>
      <c r="B18" s="4"/>
      <c r="C18" s="4"/>
      <c r="D18" s="4"/>
      <c r="E18" s="4" t="str">
        <f>IFERROR(VLOOKUP($D18,'02 Status'!$A:$R,4,FALSE),"")</f>
        <v/>
      </c>
      <c r="F18" s="4" t="str">
        <f>IFERROR(VLOOKUP($D18,'02 Status'!$A:$R,3,FALSE),"")</f>
        <v/>
      </c>
      <c r="G18" s="4" t="str">
        <f>IFERROR(VLOOKUP($D18,'02 Status'!$A:$R,7,FALSE),"")</f>
        <v/>
      </c>
      <c r="H18" s="4" t="str">
        <f>IFERROR(VLOOKUP($D18,'02 Status'!$A:$R,8,FALSE),"")</f>
        <v/>
      </c>
      <c r="I18" s="4" t="str">
        <f>IFERROR(VLOOKUP($D18,'02 Status'!$A:$R,9,FALSE),"")</f>
        <v/>
      </c>
      <c r="J18" s="4" t="str">
        <f>IFERROR(VLOOKUP($D18,'02 Status'!$A:$R,10,FALSE),"")</f>
        <v/>
      </c>
      <c r="K18" s="4" t="str">
        <f>IFERROR(VLOOKUP($D18,'02 Status'!$A:$R,11,FALSE),"")</f>
        <v/>
      </c>
      <c r="L18" s="4" t="str">
        <f>IFERROR(VLOOKUP($D18,'02 Status'!$A:$R,12,FALSE),"")</f>
        <v/>
      </c>
      <c r="M18" s="4" t="str">
        <f>IFERROR(VLOOKUP($D18,'02 Status'!$A:$R,13,FALSE),"")</f>
        <v/>
      </c>
      <c r="N18" s="4" t="str">
        <f>IFERROR(VLOOKUP($D18,'02 Status'!$A:$R,14,FALSE),"")</f>
        <v/>
      </c>
      <c r="O18" s="4" t="str">
        <f>IFERROR(VLOOKUP($D18,'02 Status'!$A:$R,16,FALSE),"")</f>
        <v/>
      </c>
      <c r="P18" s="6"/>
      <c r="Q18" s="4"/>
      <c r="R18" s="4">
        <f t="shared" si="0"/>
        <v>25</v>
      </c>
      <c r="S18" s="4"/>
      <c r="T18" s="4"/>
      <c r="U18" s="4"/>
      <c r="V18" s="4"/>
      <c r="W18" s="4"/>
      <c r="X18" s="4">
        <f t="shared" si="1"/>
        <v>0</v>
      </c>
      <c r="Y18" s="4" t="str">
        <f t="shared" si="2"/>
        <v>Crítica</v>
      </c>
      <c r="Z18" s="4">
        <f t="shared" si="3"/>
        <v>25</v>
      </c>
      <c r="AA18" s="4">
        <f t="shared" si="4"/>
        <v>100</v>
      </c>
      <c r="AB18" s="4">
        <f t="shared" si="5"/>
        <v>40</v>
      </c>
      <c r="AC18" s="4" t="str">
        <f t="shared" si="6"/>
        <v>Baixa</v>
      </c>
      <c r="AD18" s="4" t="str">
        <f t="shared" si="7"/>
        <v>Não</v>
      </c>
      <c r="AE18" s="4"/>
    </row>
    <row r="19" spans="1:31">
      <c r="A19" s="4"/>
      <c r="B19" s="4"/>
      <c r="C19" s="4"/>
      <c r="D19" s="4"/>
      <c r="E19" s="4" t="str">
        <f>IFERROR(VLOOKUP($D19,'02 Status'!$A:$R,4,FALSE),"")</f>
        <v/>
      </c>
      <c r="F19" s="4" t="str">
        <f>IFERROR(VLOOKUP($D19,'02 Status'!$A:$R,3,FALSE),"")</f>
        <v/>
      </c>
      <c r="G19" s="4" t="str">
        <f>IFERROR(VLOOKUP($D19,'02 Status'!$A:$R,7,FALSE),"")</f>
        <v/>
      </c>
      <c r="H19" s="4" t="str">
        <f>IFERROR(VLOOKUP($D19,'02 Status'!$A:$R,8,FALSE),"")</f>
        <v/>
      </c>
      <c r="I19" s="4" t="str">
        <f>IFERROR(VLOOKUP($D19,'02 Status'!$A:$R,9,FALSE),"")</f>
        <v/>
      </c>
      <c r="J19" s="4" t="str">
        <f>IFERROR(VLOOKUP($D19,'02 Status'!$A:$R,10,FALSE),"")</f>
        <v/>
      </c>
      <c r="K19" s="4" t="str">
        <f>IFERROR(VLOOKUP($D19,'02 Status'!$A:$R,11,FALSE),"")</f>
        <v/>
      </c>
      <c r="L19" s="4" t="str">
        <f>IFERROR(VLOOKUP($D19,'02 Status'!$A:$R,12,FALSE),"")</f>
        <v/>
      </c>
      <c r="M19" s="4" t="str">
        <f>IFERROR(VLOOKUP($D19,'02 Status'!$A:$R,13,FALSE),"")</f>
        <v/>
      </c>
      <c r="N19" s="4" t="str">
        <f>IFERROR(VLOOKUP($D19,'02 Status'!$A:$R,14,FALSE),"")</f>
        <v/>
      </c>
      <c r="O19" s="4" t="str">
        <f>IFERROR(VLOOKUP($D19,'02 Status'!$A:$R,16,FALSE),"")</f>
        <v/>
      </c>
      <c r="P19" s="6"/>
      <c r="Q19" s="4"/>
      <c r="R19" s="4">
        <f t="shared" si="0"/>
        <v>25</v>
      </c>
      <c r="S19" s="4"/>
      <c r="T19" s="4"/>
      <c r="U19" s="4"/>
      <c r="V19" s="4"/>
      <c r="W19" s="4"/>
      <c r="X19" s="4">
        <f t="shared" si="1"/>
        <v>0</v>
      </c>
      <c r="Y19" s="4" t="str">
        <f t="shared" si="2"/>
        <v>Crítica</v>
      </c>
      <c r="Z19" s="4">
        <f t="shared" si="3"/>
        <v>25</v>
      </c>
      <c r="AA19" s="4">
        <f t="shared" si="4"/>
        <v>100</v>
      </c>
      <c r="AB19" s="4">
        <f t="shared" si="5"/>
        <v>40</v>
      </c>
      <c r="AC19" s="4" t="str">
        <f t="shared" si="6"/>
        <v>Baixa</v>
      </c>
      <c r="AD19" s="4" t="str">
        <f t="shared" si="7"/>
        <v>Não</v>
      </c>
      <c r="AE19" s="4"/>
    </row>
    <row r="20" spans="1:31">
      <c r="A20" s="4"/>
      <c r="B20" s="4"/>
      <c r="C20" s="4"/>
      <c r="D20" s="4"/>
      <c r="E20" s="4" t="str">
        <f>IFERROR(VLOOKUP($D20,'02 Status'!$A:$R,4,FALSE),"")</f>
        <v/>
      </c>
      <c r="F20" s="4" t="str">
        <f>IFERROR(VLOOKUP($D20,'02 Status'!$A:$R,3,FALSE),"")</f>
        <v/>
      </c>
      <c r="G20" s="4" t="str">
        <f>IFERROR(VLOOKUP($D20,'02 Status'!$A:$R,7,FALSE),"")</f>
        <v/>
      </c>
      <c r="H20" s="4" t="str">
        <f>IFERROR(VLOOKUP($D20,'02 Status'!$A:$R,8,FALSE),"")</f>
        <v/>
      </c>
      <c r="I20" s="4" t="str">
        <f>IFERROR(VLOOKUP($D20,'02 Status'!$A:$R,9,FALSE),"")</f>
        <v/>
      </c>
      <c r="J20" s="4" t="str">
        <f>IFERROR(VLOOKUP($D20,'02 Status'!$A:$R,10,FALSE),"")</f>
        <v/>
      </c>
      <c r="K20" s="4" t="str">
        <f>IFERROR(VLOOKUP($D20,'02 Status'!$A:$R,11,FALSE),"")</f>
        <v/>
      </c>
      <c r="L20" s="4" t="str">
        <f>IFERROR(VLOOKUP($D20,'02 Status'!$A:$R,12,FALSE),"")</f>
        <v/>
      </c>
      <c r="M20" s="4" t="str">
        <f>IFERROR(VLOOKUP($D20,'02 Status'!$A:$R,13,FALSE),"")</f>
        <v/>
      </c>
      <c r="N20" s="4" t="str">
        <f>IFERROR(VLOOKUP($D20,'02 Status'!$A:$R,14,FALSE),"")</f>
        <v/>
      </c>
      <c r="O20" s="4" t="str">
        <f>IFERROR(VLOOKUP($D20,'02 Status'!$A:$R,16,FALSE),"")</f>
        <v/>
      </c>
      <c r="P20" s="6"/>
      <c r="Q20" s="4"/>
      <c r="R20" s="4">
        <f t="shared" si="0"/>
        <v>25</v>
      </c>
      <c r="S20" s="4"/>
      <c r="T20" s="4"/>
      <c r="U20" s="4"/>
      <c r="V20" s="4"/>
      <c r="W20" s="4"/>
      <c r="X20" s="4">
        <f t="shared" si="1"/>
        <v>0</v>
      </c>
      <c r="Y20" s="4" t="str">
        <f t="shared" si="2"/>
        <v>Crítica</v>
      </c>
      <c r="Z20" s="4">
        <f t="shared" si="3"/>
        <v>25</v>
      </c>
      <c r="AA20" s="4">
        <f t="shared" si="4"/>
        <v>100</v>
      </c>
      <c r="AB20" s="4">
        <f t="shared" si="5"/>
        <v>40</v>
      </c>
      <c r="AC20" s="4" t="str">
        <f t="shared" si="6"/>
        <v>Baixa</v>
      </c>
      <c r="AD20" s="4" t="str">
        <f t="shared" si="7"/>
        <v>Não</v>
      </c>
      <c r="AE20" s="4"/>
    </row>
    <row r="21" spans="1:31">
      <c r="A21" s="4"/>
      <c r="B21" s="4"/>
      <c r="C21" s="4"/>
      <c r="D21" s="4"/>
      <c r="E21" s="4" t="str">
        <f>IFERROR(VLOOKUP($D21,'02 Status'!$A:$R,4,FALSE),"")</f>
        <v/>
      </c>
      <c r="F21" s="4" t="str">
        <f>IFERROR(VLOOKUP($D21,'02 Status'!$A:$R,3,FALSE),"")</f>
        <v/>
      </c>
      <c r="G21" s="4" t="str">
        <f>IFERROR(VLOOKUP($D21,'02 Status'!$A:$R,7,FALSE),"")</f>
        <v/>
      </c>
      <c r="H21" s="4" t="str">
        <f>IFERROR(VLOOKUP($D21,'02 Status'!$A:$R,8,FALSE),"")</f>
        <v/>
      </c>
      <c r="I21" s="4" t="str">
        <f>IFERROR(VLOOKUP($D21,'02 Status'!$A:$R,9,FALSE),"")</f>
        <v/>
      </c>
      <c r="J21" s="4" t="str">
        <f>IFERROR(VLOOKUP($D21,'02 Status'!$A:$R,10,FALSE),"")</f>
        <v/>
      </c>
      <c r="K21" s="4" t="str">
        <f>IFERROR(VLOOKUP($D21,'02 Status'!$A:$R,11,FALSE),"")</f>
        <v/>
      </c>
      <c r="L21" s="4" t="str">
        <f>IFERROR(VLOOKUP($D21,'02 Status'!$A:$R,12,FALSE),"")</f>
        <v/>
      </c>
      <c r="M21" s="4" t="str">
        <f>IFERROR(VLOOKUP($D21,'02 Status'!$A:$R,13,FALSE),"")</f>
        <v/>
      </c>
      <c r="N21" s="4" t="str">
        <f>IFERROR(VLOOKUP($D21,'02 Status'!$A:$R,14,FALSE),"")</f>
        <v/>
      </c>
      <c r="O21" s="4" t="str">
        <f>IFERROR(VLOOKUP($D21,'02 Status'!$A:$R,16,FALSE),"")</f>
        <v/>
      </c>
      <c r="P21" s="6"/>
      <c r="Q21" s="4"/>
      <c r="R21" s="4">
        <f t="shared" si="0"/>
        <v>25</v>
      </c>
      <c r="S21" s="4"/>
      <c r="T21" s="4"/>
      <c r="U21" s="4"/>
      <c r="V21" s="4"/>
      <c r="W21" s="4"/>
      <c r="X21" s="4">
        <f t="shared" si="1"/>
        <v>0</v>
      </c>
      <c r="Y21" s="4" t="str">
        <f t="shared" si="2"/>
        <v>Crítica</v>
      </c>
      <c r="Z21" s="4">
        <f t="shared" si="3"/>
        <v>25</v>
      </c>
      <c r="AA21" s="4">
        <f t="shared" si="4"/>
        <v>100</v>
      </c>
      <c r="AB21" s="4">
        <f t="shared" si="5"/>
        <v>40</v>
      </c>
      <c r="AC21" s="4" t="str">
        <f t="shared" si="6"/>
        <v>Baixa</v>
      </c>
      <c r="AD21" s="4" t="str">
        <f t="shared" si="7"/>
        <v>Não</v>
      </c>
      <c r="AE21" s="4"/>
    </row>
    <row r="22" spans="1:31">
      <c r="A22" s="4"/>
      <c r="B22" s="4"/>
      <c r="C22" s="4"/>
      <c r="D22" s="4"/>
      <c r="E22" s="4" t="str">
        <f>IFERROR(VLOOKUP($D22,'02 Status'!$A:$R,4,FALSE),"")</f>
        <v/>
      </c>
      <c r="F22" s="4" t="str">
        <f>IFERROR(VLOOKUP($D22,'02 Status'!$A:$R,3,FALSE),"")</f>
        <v/>
      </c>
      <c r="G22" s="4" t="str">
        <f>IFERROR(VLOOKUP($D22,'02 Status'!$A:$R,7,FALSE),"")</f>
        <v/>
      </c>
      <c r="H22" s="4" t="str">
        <f>IFERROR(VLOOKUP($D22,'02 Status'!$A:$R,8,FALSE),"")</f>
        <v/>
      </c>
      <c r="I22" s="4" t="str">
        <f>IFERROR(VLOOKUP($D22,'02 Status'!$A:$R,9,FALSE),"")</f>
        <v/>
      </c>
      <c r="J22" s="4" t="str">
        <f>IFERROR(VLOOKUP($D22,'02 Status'!$A:$R,10,FALSE),"")</f>
        <v/>
      </c>
      <c r="K22" s="4" t="str">
        <f>IFERROR(VLOOKUP($D22,'02 Status'!$A:$R,11,FALSE),"")</f>
        <v/>
      </c>
      <c r="L22" s="4" t="str">
        <f>IFERROR(VLOOKUP($D22,'02 Status'!$A:$R,12,FALSE),"")</f>
        <v/>
      </c>
      <c r="M22" s="4" t="str">
        <f>IFERROR(VLOOKUP($D22,'02 Status'!$A:$R,13,FALSE),"")</f>
        <v/>
      </c>
      <c r="N22" s="4" t="str">
        <f>IFERROR(VLOOKUP($D22,'02 Status'!$A:$R,14,FALSE),"")</f>
        <v/>
      </c>
      <c r="O22" s="4" t="str">
        <f>IFERROR(VLOOKUP($D22,'02 Status'!$A:$R,16,FALSE),"")</f>
        <v/>
      </c>
      <c r="P22" s="6"/>
      <c r="Q22" s="4"/>
      <c r="R22" s="4">
        <f t="shared" si="0"/>
        <v>25</v>
      </c>
      <c r="S22" s="4"/>
      <c r="T22" s="4"/>
      <c r="U22" s="4"/>
      <c r="V22" s="4"/>
      <c r="W22" s="4"/>
      <c r="X22" s="4">
        <f t="shared" si="1"/>
        <v>0</v>
      </c>
      <c r="Y22" s="4" t="str">
        <f t="shared" si="2"/>
        <v>Crítica</v>
      </c>
      <c r="Z22" s="4">
        <f t="shared" si="3"/>
        <v>25</v>
      </c>
      <c r="AA22" s="4">
        <f t="shared" si="4"/>
        <v>100</v>
      </c>
      <c r="AB22" s="4">
        <f t="shared" si="5"/>
        <v>40</v>
      </c>
      <c r="AC22" s="4" t="str">
        <f t="shared" si="6"/>
        <v>Baixa</v>
      </c>
      <c r="AD22" s="4" t="str">
        <f t="shared" si="7"/>
        <v>Não</v>
      </c>
      <c r="AE22" s="4"/>
    </row>
    <row r="23" spans="1:31">
      <c r="A23" s="4"/>
      <c r="B23" s="4"/>
      <c r="C23" s="4"/>
      <c r="D23" s="4"/>
      <c r="E23" s="4" t="str">
        <f>IFERROR(VLOOKUP($D23,'02 Status'!$A:$R,4,FALSE),"")</f>
        <v/>
      </c>
      <c r="F23" s="4" t="str">
        <f>IFERROR(VLOOKUP($D23,'02 Status'!$A:$R,3,FALSE),"")</f>
        <v/>
      </c>
      <c r="G23" s="4" t="str">
        <f>IFERROR(VLOOKUP($D23,'02 Status'!$A:$R,7,FALSE),"")</f>
        <v/>
      </c>
      <c r="H23" s="4" t="str">
        <f>IFERROR(VLOOKUP($D23,'02 Status'!$A:$R,8,FALSE),"")</f>
        <v/>
      </c>
      <c r="I23" s="4" t="str">
        <f>IFERROR(VLOOKUP($D23,'02 Status'!$A:$R,9,FALSE),"")</f>
        <v/>
      </c>
      <c r="J23" s="4" t="str">
        <f>IFERROR(VLOOKUP($D23,'02 Status'!$A:$R,10,FALSE),"")</f>
        <v/>
      </c>
      <c r="K23" s="4" t="str">
        <f>IFERROR(VLOOKUP($D23,'02 Status'!$A:$R,11,FALSE),"")</f>
        <v/>
      </c>
      <c r="L23" s="4" t="str">
        <f>IFERROR(VLOOKUP($D23,'02 Status'!$A:$R,12,FALSE),"")</f>
        <v/>
      </c>
      <c r="M23" s="4" t="str">
        <f>IFERROR(VLOOKUP($D23,'02 Status'!$A:$R,13,FALSE),"")</f>
        <v/>
      </c>
      <c r="N23" s="4" t="str">
        <f>IFERROR(VLOOKUP($D23,'02 Status'!$A:$R,14,FALSE),"")</f>
        <v/>
      </c>
      <c r="O23" s="4" t="str">
        <f>IFERROR(VLOOKUP($D23,'02 Status'!$A:$R,16,FALSE),"")</f>
        <v/>
      </c>
      <c r="P23" s="6"/>
      <c r="Q23" s="4"/>
      <c r="R23" s="4">
        <f t="shared" si="0"/>
        <v>25</v>
      </c>
      <c r="S23" s="4"/>
      <c r="T23" s="4"/>
      <c r="U23" s="4"/>
      <c r="V23" s="4"/>
      <c r="W23" s="4"/>
      <c r="X23" s="4">
        <f t="shared" si="1"/>
        <v>0</v>
      </c>
      <c r="Y23" s="4" t="str">
        <f t="shared" si="2"/>
        <v>Crítica</v>
      </c>
      <c r="Z23" s="4">
        <f t="shared" si="3"/>
        <v>25</v>
      </c>
      <c r="AA23" s="4">
        <f t="shared" si="4"/>
        <v>100</v>
      </c>
      <c r="AB23" s="4">
        <f t="shared" si="5"/>
        <v>40</v>
      </c>
      <c r="AC23" s="4" t="str">
        <f t="shared" si="6"/>
        <v>Baixa</v>
      </c>
      <c r="AD23" s="4" t="str">
        <f t="shared" si="7"/>
        <v>Não</v>
      </c>
      <c r="AE23" s="4"/>
    </row>
    <row r="24" spans="1:31">
      <c r="A24" s="4"/>
      <c r="B24" s="4"/>
      <c r="C24" s="4"/>
      <c r="D24" s="4"/>
      <c r="E24" s="4" t="str">
        <f>IFERROR(VLOOKUP($D24,'02 Status'!$A:$R,4,FALSE),"")</f>
        <v/>
      </c>
      <c r="F24" s="4" t="str">
        <f>IFERROR(VLOOKUP($D24,'02 Status'!$A:$R,3,FALSE),"")</f>
        <v/>
      </c>
      <c r="G24" s="4" t="str">
        <f>IFERROR(VLOOKUP($D24,'02 Status'!$A:$R,7,FALSE),"")</f>
        <v/>
      </c>
      <c r="H24" s="4" t="str">
        <f>IFERROR(VLOOKUP($D24,'02 Status'!$A:$R,8,FALSE),"")</f>
        <v/>
      </c>
      <c r="I24" s="4" t="str">
        <f>IFERROR(VLOOKUP($D24,'02 Status'!$A:$R,9,FALSE),"")</f>
        <v/>
      </c>
      <c r="J24" s="4" t="str">
        <f>IFERROR(VLOOKUP($D24,'02 Status'!$A:$R,10,FALSE),"")</f>
        <v/>
      </c>
      <c r="K24" s="4" t="str">
        <f>IFERROR(VLOOKUP($D24,'02 Status'!$A:$R,11,FALSE),"")</f>
        <v/>
      </c>
      <c r="L24" s="4" t="str">
        <f>IFERROR(VLOOKUP($D24,'02 Status'!$A:$R,12,FALSE),"")</f>
        <v/>
      </c>
      <c r="M24" s="4" t="str">
        <f>IFERROR(VLOOKUP($D24,'02 Status'!$A:$R,13,FALSE),"")</f>
        <v/>
      </c>
      <c r="N24" s="4" t="str">
        <f>IFERROR(VLOOKUP($D24,'02 Status'!$A:$R,14,FALSE),"")</f>
        <v/>
      </c>
      <c r="O24" s="4" t="str">
        <f>IFERROR(VLOOKUP($D24,'02 Status'!$A:$R,16,FALSE),"")</f>
        <v/>
      </c>
      <c r="P24" s="6"/>
      <c r="Q24" s="4"/>
      <c r="R24" s="4">
        <f t="shared" si="0"/>
        <v>25</v>
      </c>
      <c r="S24" s="4"/>
      <c r="T24" s="4"/>
      <c r="U24" s="4"/>
      <c r="V24" s="4"/>
      <c r="W24" s="4"/>
      <c r="X24" s="4">
        <f t="shared" si="1"/>
        <v>0</v>
      </c>
      <c r="Y24" s="4" t="str">
        <f t="shared" si="2"/>
        <v>Crítica</v>
      </c>
      <c r="Z24" s="4">
        <f t="shared" si="3"/>
        <v>25</v>
      </c>
      <c r="AA24" s="4">
        <f t="shared" si="4"/>
        <v>100</v>
      </c>
      <c r="AB24" s="4">
        <f t="shared" si="5"/>
        <v>40</v>
      </c>
      <c r="AC24" s="4" t="str">
        <f t="shared" si="6"/>
        <v>Baixa</v>
      </c>
      <c r="AD24" s="4" t="str">
        <f t="shared" si="7"/>
        <v>Não</v>
      </c>
      <c r="AE24" s="4"/>
    </row>
    <row r="25" spans="1:31">
      <c r="A25" s="4"/>
      <c r="B25" s="4"/>
      <c r="C25" s="4"/>
      <c r="D25" s="4"/>
      <c r="E25" s="4" t="str">
        <f>IFERROR(VLOOKUP($D25,'02 Status'!$A:$R,4,FALSE),"")</f>
        <v/>
      </c>
      <c r="F25" s="4" t="str">
        <f>IFERROR(VLOOKUP($D25,'02 Status'!$A:$R,3,FALSE),"")</f>
        <v/>
      </c>
      <c r="G25" s="4" t="str">
        <f>IFERROR(VLOOKUP($D25,'02 Status'!$A:$R,7,FALSE),"")</f>
        <v/>
      </c>
      <c r="H25" s="4" t="str">
        <f>IFERROR(VLOOKUP($D25,'02 Status'!$A:$R,8,FALSE),"")</f>
        <v/>
      </c>
      <c r="I25" s="4" t="str">
        <f>IFERROR(VLOOKUP($D25,'02 Status'!$A:$R,9,FALSE),"")</f>
        <v/>
      </c>
      <c r="J25" s="4" t="str">
        <f>IFERROR(VLOOKUP($D25,'02 Status'!$A:$R,10,FALSE),"")</f>
        <v/>
      </c>
      <c r="K25" s="4" t="str">
        <f>IFERROR(VLOOKUP($D25,'02 Status'!$A:$R,11,FALSE),"")</f>
        <v/>
      </c>
      <c r="L25" s="4" t="str">
        <f>IFERROR(VLOOKUP($D25,'02 Status'!$A:$R,12,FALSE),"")</f>
        <v/>
      </c>
      <c r="M25" s="4" t="str">
        <f>IFERROR(VLOOKUP($D25,'02 Status'!$A:$R,13,FALSE),"")</f>
        <v/>
      </c>
      <c r="N25" s="4" t="str">
        <f>IFERROR(VLOOKUP($D25,'02 Status'!$A:$R,14,FALSE),"")</f>
        <v/>
      </c>
      <c r="O25" s="4" t="str">
        <f>IFERROR(VLOOKUP($D25,'02 Status'!$A:$R,16,FALSE),"")</f>
        <v/>
      </c>
      <c r="P25" s="6"/>
      <c r="Q25" s="4"/>
      <c r="R25" s="4">
        <f t="shared" si="0"/>
        <v>25</v>
      </c>
      <c r="S25" s="4"/>
      <c r="T25" s="4"/>
      <c r="U25" s="4"/>
      <c r="V25" s="4"/>
      <c r="W25" s="4"/>
      <c r="X25" s="4">
        <f t="shared" si="1"/>
        <v>0</v>
      </c>
      <c r="Y25" s="4" t="str">
        <f t="shared" si="2"/>
        <v>Crítica</v>
      </c>
      <c r="Z25" s="4">
        <f t="shared" si="3"/>
        <v>25</v>
      </c>
      <c r="AA25" s="4">
        <f t="shared" si="4"/>
        <v>100</v>
      </c>
      <c r="AB25" s="4">
        <f t="shared" si="5"/>
        <v>40</v>
      </c>
      <c r="AC25" s="4" t="str">
        <f t="shared" si="6"/>
        <v>Baixa</v>
      </c>
      <c r="AD25" s="4" t="str">
        <f t="shared" si="7"/>
        <v>Não</v>
      </c>
      <c r="AE25" s="4"/>
    </row>
    <row r="26" spans="1:31">
      <c r="A26" s="4"/>
      <c r="B26" s="4"/>
      <c r="C26" s="4"/>
      <c r="D26" s="4"/>
      <c r="E26" s="4" t="str">
        <f>IFERROR(VLOOKUP($D26,'02 Status'!$A:$R,4,FALSE),"")</f>
        <v/>
      </c>
      <c r="F26" s="4" t="str">
        <f>IFERROR(VLOOKUP($D26,'02 Status'!$A:$R,3,FALSE),"")</f>
        <v/>
      </c>
      <c r="G26" s="4" t="str">
        <f>IFERROR(VLOOKUP($D26,'02 Status'!$A:$R,7,FALSE),"")</f>
        <v/>
      </c>
      <c r="H26" s="4" t="str">
        <f>IFERROR(VLOOKUP($D26,'02 Status'!$A:$R,8,FALSE),"")</f>
        <v/>
      </c>
      <c r="I26" s="4" t="str">
        <f>IFERROR(VLOOKUP($D26,'02 Status'!$A:$R,9,FALSE),"")</f>
        <v/>
      </c>
      <c r="J26" s="4" t="str">
        <f>IFERROR(VLOOKUP($D26,'02 Status'!$A:$R,10,FALSE),"")</f>
        <v/>
      </c>
      <c r="K26" s="4" t="str">
        <f>IFERROR(VLOOKUP($D26,'02 Status'!$A:$R,11,FALSE),"")</f>
        <v/>
      </c>
      <c r="L26" s="4" t="str">
        <f>IFERROR(VLOOKUP($D26,'02 Status'!$A:$R,12,FALSE),"")</f>
        <v/>
      </c>
      <c r="M26" s="4" t="str">
        <f>IFERROR(VLOOKUP($D26,'02 Status'!$A:$R,13,FALSE),"")</f>
        <v/>
      </c>
      <c r="N26" s="4" t="str">
        <f>IFERROR(VLOOKUP($D26,'02 Status'!$A:$R,14,FALSE),"")</f>
        <v/>
      </c>
      <c r="O26" s="4" t="str">
        <f>IFERROR(VLOOKUP($D26,'02 Status'!$A:$R,16,FALSE),"")</f>
        <v/>
      </c>
      <c r="P26" s="6"/>
      <c r="Q26" s="4"/>
      <c r="R26" s="4">
        <f t="shared" si="0"/>
        <v>25</v>
      </c>
      <c r="S26" s="4"/>
      <c r="T26" s="4"/>
      <c r="U26" s="4"/>
      <c r="V26" s="4"/>
      <c r="W26" s="4"/>
      <c r="X26" s="4">
        <f t="shared" si="1"/>
        <v>0</v>
      </c>
      <c r="Y26" s="4" t="str">
        <f t="shared" si="2"/>
        <v>Crítica</v>
      </c>
      <c r="Z26" s="4">
        <f t="shared" si="3"/>
        <v>25</v>
      </c>
      <c r="AA26" s="4">
        <f t="shared" si="4"/>
        <v>100</v>
      </c>
      <c r="AB26" s="4">
        <f t="shared" si="5"/>
        <v>40</v>
      </c>
      <c r="AC26" s="4" t="str">
        <f t="shared" si="6"/>
        <v>Baixa</v>
      </c>
      <c r="AD26" s="4" t="str">
        <f t="shared" si="7"/>
        <v>Não</v>
      </c>
      <c r="AE26" s="4"/>
    </row>
    <row r="27" spans="1:31">
      <c r="A27" s="4"/>
      <c r="B27" s="4"/>
      <c r="C27" s="4"/>
      <c r="D27" s="4"/>
      <c r="E27" s="4" t="str">
        <f>IFERROR(VLOOKUP($D27,'02 Status'!$A:$R,4,FALSE),"")</f>
        <v/>
      </c>
      <c r="F27" s="4" t="str">
        <f>IFERROR(VLOOKUP($D27,'02 Status'!$A:$R,3,FALSE),"")</f>
        <v/>
      </c>
      <c r="G27" s="4" t="str">
        <f>IFERROR(VLOOKUP($D27,'02 Status'!$A:$R,7,FALSE),"")</f>
        <v/>
      </c>
      <c r="H27" s="4" t="str">
        <f>IFERROR(VLOOKUP($D27,'02 Status'!$A:$R,8,FALSE),"")</f>
        <v/>
      </c>
      <c r="I27" s="4" t="str">
        <f>IFERROR(VLOOKUP($D27,'02 Status'!$A:$R,9,FALSE),"")</f>
        <v/>
      </c>
      <c r="J27" s="4" t="str">
        <f>IFERROR(VLOOKUP($D27,'02 Status'!$A:$R,10,FALSE),"")</f>
        <v/>
      </c>
      <c r="K27" s="4" t="str">
        <f>IFERROR(VLOOKUP($D27,'02 Status'!$A:$R,11,FALSE),"")</f>
        <v/>
      </c>
      <c r="L27" s="4" t="str">
        <f>IFERROR(VLOOKUP($D27,'02 Status'!$A:$R,12,FALSE),"")</f>
        <v/>
      </c>
      <c r="M27" s="4" t="str">
        <f>IFERROR(VLOOKUP($D27,'02 Status'!$A:$R,13,FALSE),"")</f>
        <v/>
      </c>
      <c r="N27" s="4" t="str">
        <f>IFERROR(VLOOKUP($D27,'02 Status'!$A:$R,14,FALSE),"")</f>
        <v/>
      </c>
      <c r="O27" s="4" t="str">
        <f>IFERROR(VLOOKUP($D27,'02 Status'!$A:$R,16,FALSE),"")</f>
        <v/>
      </c>
      <c r="P27" s="6"/>
      <c r="Q27" s="4"/>
      <c r="R27" s="4">
        <f t="shared" si="0"/>
        <v>25</v>
      </c>
      <c r="S27" s="4"/>
      <c r="T27" s="4"/>
      <c r="U27" s="4"/>
      <c r="V27" s="4"/>
      <c r="W27" s="4"/>
      <c r="X27" s="4">
        <f t="shared" si="1"/>
        <v>0</v>
      </c>
      <c r="Y27" s="4" t="str">
        <f t="shared" si="2"/>
        <v>Crítica</v>
      </c>
      <c r="Z27" s="4">
        <f t="shared" si="3"/>
        <v>25</v>
      </c>
      <c r="AA27" s="4">
        <f t="shared" si="4"/>
        <v>100</v>
      </c>
      <c r="AB27" s="4">
        <f t="shared" si="5"/>
        <v>40</v>
      </c>
      <c r="AC27" s="4" t="str">
        <f t="shared" si="6"/>
        <v>Baixa</v>
      </c>
      <c r="AD27" s="4" t="str">
        <f t="shared" si="7"/>
        <v>Não</v>
      </c>
      <c r="AE27" s="4"/>
    </row>
    <row r="28" spans="1:31">
      <c r="A28" s="4"/>
      <c r="B28" s="4"/>
      <c r="C28" s="4"/>
      <c r="D28" s="4"/>
      <c r="E28" s="4" t="str">
        <f>IFERROR(VLOOKUP($D28,'02 Status'!$A:$R,4,FALSE),"")</f>
        <v/>
      </c>
      <c r="F28" s="4" t="str">
        <f>IFERROR(VLOOKUP($D28,'02 Status'!$A:$R,3,FALSE),"")</f>
        <v/>
      </c>
      <c r="G28" s="4" t="str">
        <f>IFERROR(VLOOKUP($D28,'02 Status'!$A:$R,7,FALSE),"")</f>
        <v/>
      </c>
      <c r="H28" s="4" t="str">
        <f>IFERROR(VLOOKUP($D28,'02 Status'!$A:$R,8,FALSE),"")</f>
        <v/>
      </c>
      <c r="I28" s="4" t="str">
        <f>IFERROR(VLOOKUP($D28,'02 Status'!$A:$R,9,FALSE),"")</f>
        <v/>
      </c>
      <c r="J28" s="4" t="str">
        <f>IFERROR(VLOOKUP($D28,'02 Status'!$A:$R,10,FALSE),"")</f>
        <v/>
      </c>
      <c r="K28" s="4" t="str">
        <f>IFERROR(VLOOKUP($D28,'02 Status'!$A:$R,11,FALSE),"")</f>
        <v/>
      </c>
      <c r="L28" s="4" t="str">
        <f>IFERROR(VLOOKUP($D28,'02 Status'!$A:$R,12,FALSE),"")</f>
        <v/>
      </c>
      <c r="M28" s="4" t="str">
        <f>IFERROR(VLOOKUP($D28,'02 Status'!$A:$R,13,FALSE),"")</f>
        <v/>
      </c>
      <c r="N28" s="4" t="str">
        <f>IFERROR(VLOOKUP($D28,'02 Status'!$A:$R,14,FALSE),"")</f>
        <v/>
      </c>
      <c r="O28" s="4" t="str">
        <f>IFERROR(VLOOKUP($D28,'02 Status'!$A:$R,16,FALSE),"")</f>
        <v/>
      </c>
      <c r="P28" s="6"/>
      <c r="Q28" s="4"/>
      <c r="R28" s="4">
        <f t="shared" si="0"/>
        <v>25</v>
      </c>
      <c r="S28" s="4"/>
      <c r="T28" s="4"/>
      <c r="U28" s="4"/>
      <c r="V28" s="4"/>
      <c r="W28" s="4"/>
      <c r="X28" s="4">
        <f t="shared" si="1"/>
        <v>0</v>
      </c>
      <c r="Y28" s="4" t="str">
        <f t="shared" si="2"/>
        <v>Crítica</v>
      </c>
      <c r="Z28" s="4">
        <f t="shared" si="3"/>
        <v>25</v>
      </c>
      <c r="AA28" s="4">
        <f t="shared" si="4"/>
        <v>100</v>
      </c>
      <c r="AB28" s="4">
        <f t="shared" si="5"/>
        <v>40</v>
      </c>
      <c r="AC28" s="4" t="str">
        <f t="shared" si="6"/>
        <v>Baixa</v>
      </c>
      <c r="AD28" s="4" t="str">
        <f t="shared" si="7"/>
        <v>Não</v>
      </c>
      <c r="AE28" s="4"/>
    </row>
    <row r="29" spans="1:31">
      <c r="A29" s="4"/>
      <c r="B29" s="4"/>
      <c r="C29" s="4"/>
      <c r="D29" s="4"/>
      <c r="E29" s="4" t="str">
        <f>IFERROR(VLOOKUP($D29,'02 Status'!$A:$R,4,FALSE),"")</f>
        <v/>
      </c>
      <c r="F29" s="4" t="str">
        <f>IFERROR(VLOOKUP($D29,'02 Status'!$A:$R,3,FALSE),"")</f>
        <v/>
      </c>
      <c r="G29" s="4" t="str">
        <f>IFERROR(VLOOKUP($D29,'02 Status'!$A:$R,7,FALSE),"")</f>
        <v/>
      </c>
      <c r="H29" s="4" t="str">
        <f>IFERROR(VLOOKUP($D29,'02 Status'!$A:$R,8,FALSE),"")</f>
        <v/>
      </c>
      <c r="I29" s="4" t="str">
        <f>IFERROR(VLOOKUP($D29,'02 Status'!$A:$R,9,FALSE),"")</f>
        <v/>
      </c>
      <c r="J29" s="4" t="str">
        <f>IFERROR(VLOOKUP($D29,'02 Status'!$A:$R,10,FALSE),"")</f>
        <v/>
      </c>
      <c r="K29" s="4" t="str">
        <f>IFERROR(VLOOKUP($D29,'02 Status'!$A:$R,11,FALSE),"")</f>
        <v/>
      </c>
      <c r="L29" s="4" t="str">
        <f>IFERROR(VLOOKUP($D29,'02 Status'!$A:$R,12,FALSE),"")</f>
        <v/>
      </c>
      <c r="M29" s="4" t="str">
        <f>IFERROR(VLOOKUP($D29,'02 Status'!$A:$R,13,FALSE),"")</f>
        <v/>
      </c>
      <c r="N29" s="4" t="str">
        <f>IFERROR(VLOOKUP($D29,'02 Status'!$A:$R,14,FALSE),"")</f>
        <v/>
      </c>
      <c r="O29" s="4" t="str">
        <f>IFERROR(VLOOKUP($D29,'02 Status'!$A:$R,16,FALSE),"")</f>
        <v/>
      </c>
      <c r="P29" s="6"/>
      <c r="Q29" s="4"/>
      <c r="R29" s="4">
        <f t="shared" si="0"/>
        <v>25</v>
      </c>
      <c r="S29" s="4"/>
      <c r="T29" s="4"/>
      <c r="U29" s="4"/>
      <c r="V29" s="4"/>
      <c r="W29" s="4"/>
      <c r="X29" s="4">
        <f t="shared" si="1"/>
        <v>0</v>
      </c>
      <c r="Y29" s="4" t="str">
        <f t="shared" si="2"/>
        <v>Crítica</v>
      </c>
      <c r="Z29" s="4">
        <f t="shared" si="3"/>
        <v>25</v>
      </c>
      <c r="AA29" s="4">
        <f t="shared" si="4"/>
        <v>100</v>
      </c>
      <c r="AB29" s="4">
        <f t="shared" si="5"/>
        <v>40</v>
      </c>
      <c r="AC29" s="4" t="str">
        <f t="shared" si="6"/>
        <v>Baixa</v>
      </c>
      <c r="AD29" s="4" t="str">
        <f t="shared" si="7"/>
        <v>Não</v>
      </c>
      <c r="AE29" s="4"/>
    </row>
    <row r="30" spans="1:31">
      <c r="A30" s="4"/>
      <c r="B30" s="4"/>
      <c r="C30" s="4"/>
      <c r="D30" s="4"/>
      <c r="E30" s="4" t="str">
        <f>IFERROR(VLOOKUP($D30,'02 Status'!$A:$R,4,FALSE),"")</f>
        <v/>
      </c>
      <c r="F30" s="4" t="str">
        <f>IFERROR(VLOOKUP($D30,'02 Status'!$A:$R,3,FALSE),"")</f>
        <v/>
      </c>
      <c r="G30" s="4" t="str">
        <f>IFERROR(VLOOKUP($D30,'02 Status'!$A:$R,7,FALSE),"")</f>
        <v/>
      </c>
      <c r="H30" s="4" t="str">
        <f>IFERROR(VLOOKUP($D30,'02 Status'!$A:$R,8,FALSE),"")</f>
        <v/>
      </c>
      <c r="I30" s="4" t="str">
        <f>IFERROR(VLOOKUP($D30,'02 Status'!$A:$R,9,FALSE),"")</f>
        <v/>
      </c>
      <c r="J30" s="4" t="str">
        <f>IFERROR(VLOOKUP($D30,'02 Status'!$A:$R,10,FALSE),"")</f>
        <v/>
      </c>
      <c r="K30" s="4" t="str">
        <f>IFERROR(VLOOKUP($D30,'02 Status'!$A:$R,11,FALSE),"")</f>
        <v/>
      </c>
      <c r="L30" s="4" t="str">
        <f>IFERROR(VLOOKUP($D30,'02 Status'!$A:$R,12,FALSE),"")</f>
        <v/>
      </c>
      <c r="M30" s="4" t="str">
        <f>IFERROR(VLOOKUP($D30,'02 Status'!$A:$R,13,FALSE),"")</f>
        <v/>
      </c>
      <c r="N30" s="4" t="str">
        <f>IFERROR(VLOOKUP($D30,'02 Status'!$A:$R,14,FALSE),"")</f>
        <v/>
      </c>
      <c r="O30" s="4" t="str">
        <f>IFERROR(VLOOKUP($D30,'02 Status'!$A:$R,16,FALSE),"")</f>
        <v/>
      </c>
      <c r="P30" s="6"/>
      <c r="Q30" s="4"/>
      <c r="R30" s="4">
        <f t="shared" si="0"/>
        <v>25</v>
      </c>
      <c r="S30" s="4"/>
      <c r="T30" s="4"/>
      <c r="U30" s="4"/>
      <c r="V30" s="4"/>
      <c r="W30" s="4"/>
      <c r="X30" s="4">
        <f t="shared" si="1"/>
        <v>0</v>
      </c>
      <c r="Y30" s="4" t="str">
        <f t="shared" si="2"/>
        <v>Crítica</v>
      </c>
      <c r="Z30" s="4">
        <f t="shared" si="3"/>
        <v>25</v>
      </c>
      <c r="AA30" s="4">
        <f t="shared" si="4"/>
        <v>100</v>
      </c>
      <c r="AB30" s="4">
        <f t="shared" si="5"/>
        <v>40</v>
      </c>
      <c r="AC30" s="4" t="str">
        <f t="shared" si="6"/>
        <v>Baixa</v>
      </c>
      <c r="AD30" s="4" t="str">
        <f t="shared" si="7"/>
        <v>Não</v>
      </c>
      <c r="AE30" s="4"/>
    </row>
    <row r="31" spans="1:31">
      <c r="A31" s="4"/>
      <c r="B31" s="4"/>
      <c r="C31" s="4"/>
      <c r="D31" s="4"/>
      <c r="E31" s="4" t="str">
        <f>IFERROR(VLOOKUP($D31,'02 Status'!$A:$R,4,FALSE),"")</f>
        <v/>
      </c>
      <c r="F31" s="4" t="str">
        <f>IFERROR(VLOOKUP($D31,'02 Status'!$A:$R,3,FALSE),"")</f>
        <v/>
      </c>
      <c r="G31" s="4" t="str">
        <f>IFERROR(VLOOKUP($D31,'02 Status'!$A:$R,7,FALSE),"")</f>
        <v/>
      </c>
      <c r="H31" s="4" t="str">
        <f>IFERROR(VLOOKUP($D31,'02 Status'!$A:$R,8,FALSE),"")</f>
        <v/>
      </c>
      <c r="I31" s="4" t="str">
        <f>IFERROR(VLOOKUP($D31,'02 Status'!$A:$R,9,FALSE),"")</f>
        <v/>
      </c>
      <c r="J31" s="4" t="str">
        <f>IFERROR(VLOOKUP($D31,'02 Status'!$A:$R,10,FALSE),"")</f>
        <v/>
      </c>
      <c r="K31" s="4" t="str">
        <f>IFERROR(VLOOKUP($D31,'02 Status'!$A:$R,11,FALSE),"")</f>
        <v/>
      </c>
      <c r="L31" s="4" t="str">
        <f>IFERROR(VLOOKUP($D31,'02 Status'!$A:$R,12,FALSE),"")</f>
        <v/>
      </c>
      <c r="M31" s="4" t="str">
        <f>IFERROR(VLOOKUP($D31,'02 Status'!$A:$R,13,FALSE),"")</f>
        <v/>
      </c>
      <c r="N31" s="4" t="str">
        <f>IFERROR(VLOOKUP($D31,'02 Status'!$A:$R,14,FALSE),"")</f>
        <v/>
      </c>
      <c r="O31" s="4" t="str">
        <f>IFERROR(VLOOKUP($D31,'02 Status'!$A:$R,16,FALSE),"")</f>
        <v/>
      </c>
      <c r="P31" s="6"/>
      <c r="Q31" s="4"/>
      <c r="R31" s="4">
        <f t="shared" si="0"/>
        <v>25</v>
      </c>
      <c r="S31" s="4"/>
      <c r="T31" s="4"/>
      <c r="U31" s="4"/>
      <c r="V31" s="4"/>
      <c r="W31" s="4"/>
      <c r="X31" s="4">
        <f t="shared" si="1"/>
        <v>0</v>
      </c>
      <c r="Y31" s="4" t="str">
        <f t="shared" si="2"/>
        <v>Crítica</v>
      </c>
      <c r="Z31" s="4">
        <f t="shared" si="3"/>
        <v>25</v>
      </c>
      <c r="AA31" s="4">
        <f t="shared" si="4"/>
        <v>100</v>
      </c>
      <c r="AB31" s="4">
        <f t="shared" si="5"/>
        <v>40</v>
      </c>
      <c r="AC31" s="4" t="str">
        <f t="shared" si="6"/>
        <v>Baixa</v>
      </c>
      <c r="AD31" s="4" t="str">
        <f t="shared" si="7"/>
        <v>Não</v>
      </c>
      <c r="AE31" s="4"/>
    </row>
    <row r="32" spans="1:31">
      <c r="A32" s="4"/>
      <c r="B32" s="4"/>
      <c r="C32" s="4"/>
      <c r="D32" s="4"/>
      <c r="E32" s="4" t="str">
        <f>IFERROR(VLOOKUP($D32,'02 Status'!$A:$R,4,FALSE),"")</f>
        <v/>
      </c>
      <c r="F32" s="4" t="str">
        <f>IFERROR(VLOOKUP($D32,'02 Status'!$A:$R,3,FALSE),"")</f>
        <v/>
      </c>
      <c r="G32" s="4" t="str">
        <f>IFERROR(VLOOKUP($D32,'02 Status'!$A:$R,7,FALSE),"")</f>
        <v/>
      </c>
      <c r="H32" s="4" t="str">
        <f>IFERROR(VLOOKUP($D32,'02 Status'!$A:$R,8,FALSE),"")</f>
        <v/>
      </c>
      <c r="I32" s="4" t="str">
        <f>IFERROR(VLOOKUP($D32,'02 Status'!$A:$R,9,FALSE),"")</f>
        <v/>
      </c>
      <c r="J32" s="4" t="str">
        <f>IFERROR(VLOOKUP($D32,'02 Status'!$A:$R,10,FALSE),"")</f>
        <v/>
      </c>
      <c r="K32" s="4" t="str">
        <f>IFERROR(VLOOKUP($D32,'02 Status'!$A:$R,11,FALSE),"")</f>
        <v/>
      </c>
      <c r="L32" s="4" t="str">
        <f>IFERROR(VLOOKUP($D32,'02 Status'!$A:$R,12,FALSE),"")</f>
        <v/>
      </c>
      <c r="M32" s="4" t="str">
        <f>IFERROR(VLOOKUP($D32,'02 Status'!$A:$R,13,FALSE),"")</f>
        <v/>
      </c>
      <c r="N32" s="4" t="str">
        <f>IFERROR(VLOOKUP($D32,'02 Status'!$A:$R,14,FALSE),"")</f>
        <v/>
      </c>
      <c r="O32" s="4" t="str">
        <f>IFERROR(VLOOKUP($D32,'02 Status'!$A:$R,16,FALSE),"")</f>
        <v/>
      </c>
      <c r="P32" s="6"/>
      <c r="Q32" s="4"/>
      <c r="R32" s="4">
        <f t="shared" si="0"/>
        <v>25</v>
      </c>
      <c r="S32" s="4"/>
      <c r="T32" s="4"/>
      <c r="U32" s="4"/>
      <c r="V32" s="4"/>
      <c r="W32" s="4"/>
      <c r="X32" s="4">
        <f t="shared" si="1"/>
        <v>0</v>
      </c>
      <c r="Y32" s="4" t="str">
        <f t="shared" si="2"/>
        <v>Crítica</v>
      </c>
      <c r="Z32" s="4">
        <f t="shared" si="3"/>
        <v>25</v>
      </c>
      <c r="AA32" s="4">
        <f t="shared" si="4"/>
        <v>100</v>
      </c>
      <c r="AB32" s="4">
        <f t="shared" si="5"/>
        <v>40</v>
      </c>
      <c r="AC32" s="4" t="str">
        <f t="shared" si="6"/>
        <v>Baixa</v>
      </c>
      <c r="AD32" s="4" t="str">
        <f t="shared" si="7"/>
        <v>Não</v>
      </c>
      <c r="AE32" s="4"/>
    </row>
    <row r="33" spans="1:31">
      <c r="A33" s="4"/>
      <c r="B33" s="4"/>
      <c r="C33" s="4"/>
      <c r="D33" s="4"/>
      <c r="E33" s="4" t="str">
        <f>IFERROR(VLOOKUP($D33,'02 Status'!$A:$R,4,FALSE),"")</f>
        <v/>
      </c>
      <c r="F33" s="4" t="str">
        <f>IFERROR(VLOOKUP($D33,'02 Status'!$A:$R,3,FALSE),"")</f>
        <v/>
      </c>
      <c r="G33" s="4" t="str">
        <f>IFERROR(VLOOKUP($D33,'02 Status'!$A:$R,7,FALSE),"")</f>
        <v/>
      </c>
      <c r="H33" s="4" t="str">
        <f>IFERROR(VLOOKUP($D33,'02 Status'!$A:$R,8,FALSE),"")</f>
        <v/>
      </c>
      <c r="I33" s="4" t="str">
        <f>IFERROR(VLOOKUP($D33,'02 Status'!$A:$R,9,FALSE),"")</f>
        <v/>
      </c>
      <c r="J33" s="4" t="str">
        <f>IFERROR(VLOOKUP($D33,'02 Status'!$A:$R,10,FALSE),"")</f>
        <v/>
      </c>
      <c r="K33" s="4" t="str">
        <f>IFERROR(VLOOKUP($D33,'02 Status'!$A:$R,11,FALSE),"")</f>
        <v/>
      </c>
      <c r="L33" s="4" t="str">
        <f>IFERROR(VLOOKUP($D33,'02 Status'!$A:$R,12,FALSE),"")</f>
        <v/>
      </c>
      <c r="M33" s="4" t="str">
        <f>IFERROR(VLOOKUP($D33,'02 Status'!$A:$R,13,FALSE),"")</f>
        <v/>
      </c>
      <c r="N33" s="4" t="str">
        <f>IFERROR(VLOOKUP($D33,'02 Status'!$A:$R,14,FALSE),"")</f>
        <v/>
      </c>
      <c r="O33" s="4" t="str">
        <f>IFERROR(VLOOKUP($D33,'02 Status'!$A:$R,16,FALSE),"")</f>
        <v/>
      </c>
      <c r="P33" s="6"/>
      <c r="Q33" s="4"/>
      <c r="R33" s="4">
        <f t="shared" si="0"/>
        <v>25</v>
      </c>
      <c r="S33" s="4"/>
      <c r="T33" s="4"/>
      <c r="U33" s="4"/>
      <c r="V33" s="4"/>
      <c r="W33" s="4"/>
      <c r="X33" s="4">
        <f t="shared" si="1"/>
        <v>0</v>
      </c>
      <c r="Y33" s="4" t="str">
        <f t="shared" si="2"/>
        <v>Crítica</v>
      </c>
      <c r="Z33" s="4">
        <f t="shared" si="3"/>
        <v>25</v>
      </c>
      <c r="AA33" s="4">
        <f t="shared" si="4"/>
        <v>100</v>
      </c>
      <c r="AB33" s="4">
        <f t="shared" si="5"/>
        <v>40</v>
      </c>
      <c r="AC33" s="4" t="str">
        <f t="shared" si="6"/>
        <v>Baixa</v>
      </c>
      <c r="AD33" s="4" t="str">
        <f t="shared" si="7"/>
        <v>Não</v>
      </c>
      <c r="AE33" s="4"/>
    </row>
    <row r="34" spans="1:31">
      <c r="A34" s="4"/>
      <c r="B34" s="4"/>
      <c r="C34" s="4"/>
      <c r="D34" s="4"/>
      <c r="E34" s="4" t="str">
        <f>IFERROR(VLOOKUP($D34,'02 Status'!$A:$R,4,FALSE),"")</f>
        <v/>
      </c>
      <c r="F34" s="4" t="str">
        <f>IFERROR(VLOOKUP($D34,'02 Status'!$A:$R,3,FALSE),"")</f>
        <v/>
      </c>
      <c r="G34" s="4" t="str">
        <f>IFERROR(VLOOKUP($D34,'02 Status'!$A:$R,7,FALSE),"")</f>
        <v/>
      </c>
      <c r="H34" s="4" t="str">
        <f>IFERROR(VLOOKUP($D34,'02 Status'!$A:$R,8,FALSE),"")</f>
        <v/>
      </c>
      <c r="I34" s="4" t="str">
        <f>IFERROR(VLOOKUP($D34,'02 Status'!$A:$R,9,FALSE),"")</f>
        <v/>
      </c>
      <c r="J34" s="4" t="str">
        <f>IFERROR(VLOOKUP($D34,'02 Status'!$A:$R,10,FALSE),"")</f>
        <v/>
      </c>
      <c r="K34" s="4" t="str">
        <f>IFERROR(VLOOKUP($D34,'02 Status'!$A:$R,11,FALSE),"")</f>
        <v/>
      </c>
      <c r="L34" s="4" t="str">
        <f>IFERROR(VLOOKUP($D34,'02 Status'!$A:$R,12,FALSE),"")</f>
        <v/>
      </c>
      <c r="M34" s="4" t="str">
        <f>IFERROR(VLOOKUP($D34,'02 Status'!$A:$R,13,FALSE),"")</f>
        <v/>
      </c>
      <c r="N34" s="4" t="str">
        <f>IFERROR(VLOOKUP($D34,'02 Status'!$A:$R,14,FALSE),"")</f>
        <v/>
      </c>
      <c r="O34" s="4" t="str">
        <f>IFERROR(VLOOKUP($D34,'02 Status'!$A:$R,16,FALSE),"")</f>
        <v/>
      </c>
      <c r="P34" s="6"/>
      <c r="Q34" s="4"/>
      <c r="R34" s="4">
        <f t="shared" si="0"/>
        <v>25</v>
      </c>
      <c r="S34" s="4"/>
      <c r="T34" s="4"/>
      <c r="U34" s="4"/>
      <c r="V34" s="4"/>
      <c r="W34" s="4"/>
      <c r="X34" s="4">
        <f t="shared" si="1"/>
        <v>0</v>
      </c>
      <c r="Y34" s="4" t="str">
        <f t="shared" si="2"/>
        <v>Crítica</v>
      </c>
      <c r="Z34" s="4">
        <f t="shared" si="3"/>
        <v>25</v>
      </c>
      <c r="AA34" s="4">
        <f t="shared" si="4"/>
        <v>100</v>
      </c>
      <c r="AB34" s="4">
        <f t="shared" si="5"/>
        <v>40</v>
      </c>
      <c r="AC34" s="4" t="str">
        <f t="shared" si="6"/>
        <v>Baixa</v>
      </c>
      <c r="AD34" s="4" t="str">
        <f t="shared" si="7"/>
        <v>Não</v>
      </c>
      <c r="AE34" s="4"/>
    </row>
    <row r="35" spans="1:31">
      <c r="A35" s="4"/>
      <c r="B35" s="4"/>
      <c r="C35" s="4"/>
      <c r="D35" s="4"/>
      <c r="E35" s="4" t="str">
        <f>IFERROR(VLOOKUP($D35,'02 Status'!$A:$R,4,FALSE),"")</f>
        <v/>
      </c>
      <c r="F35" s="4" t="str">
        <f>IFERROR(VLOOKUP($D35,'02 Status'!$A:$R,3,FALSE),"")</f>
        <v/>
      </c>
      <c r="G35" s="4" t="str">
        <f>IFERROR(VLOOKUP($D35,'02 Status'!$A:$R,7,FALSE),"")</f>
        <v/>
      </c>
      <c r="H35" s="4" t="str">
        <f>IFERROR(VLOOKUP($D35,'02 Status'!$A:$R,8,FALSE),"")</f>
        <v/>
      </c>
      <c r="I35" s="4" t="str">
        <f>IFERROR(VLOOKUP($D35,'02 Status'!$A:$R,9,FALSE),"")</f>
        <v/>
      </c>
      <c r="J35" s="4" t="str">
        <f>IFERROR(VLOOKUP($D35,'02 Status'!$A:$R,10,FALSE),"")</f>
        <v/>
      </c>
      <c r="K35" s="4" t="str">
        <f>IFERROR(VLOOKUP($D35,'02 Status'!$A:$R,11,FALSE),"")</f>
        <v/>
      </c>
      <c r="L35" s="4" t="str">
        <f>IFERROR(VLOOKUP($D35,'02 Status'!$A:$R,12,FALSE),"")</f>
        <v/>
      </c>
      <c r="M35" s="4" t="str">
        <f>IFERROR(VLOOKUP($D35,'02 Status'!$A:$R,13,FALSE),"")</f>
        <v/>
      </c>
      <c r="N35" s="4" t="str">
        <f>IFERROR(VLOOKUP($D35,'02 Status'!$A:$R,14,FALSE),"")</f>
        <v/>
      </c>
      <c r="O35" s="4" t="str">
        <f>IFERROR(VLOOKUP($D35,'02 Status'!$A:$R,16,FALSE),"")</f>
        <v/>
      </c>
      <c r="P35" s="6"/>
      <c r="Q35" s="4"/>
      <c r="R35" s="4">
        <f t="shared" si="0"/>
        <v>25</v>
      </c>
      <c r="S35" s="4"/>
      <c r="T35" s="4"/>
      <c r="U35" s="4"/>
      <c r="V35" s="4"/>
      <c r="W35" s="4"/>
      <c r="X35" s="4">
        <f t="shared" si="1"/>
        <v>0</v>
      </c>
      <c r="Y35" s="4" t="str">
        <f t="shared" si="2"/>
        <v>Crítica</v>
      </c>
      <c r="Z35" s="4">
        <f t="shared" si="3"/>
        <v>25</v>
      </c>
      <c r="AA35" s="4">
        <f t="shared" si="4"/>
        <v>100</v>
      </c>
      <c r="AB35" s="4">
        <f t="shared" si="5"/>
        <v>40</v>
      </c>
      <c r="AC35" s="4" t="str">
        <f t="shared" si="6"/>
        <v>Baixa</v>
      </c>
      <c r="AD35" s="4" t="str">
        <f t="shared" si="7"/>
        <v>Não</v>
      </c>
      <c r="AE35" s="4"/>
    </row>
    <row r="36" spans="1:31">
      <c r="A36" s="4"/>
      <c r="B36" s="4"/>
      <c r="C36" s="4"/>
      <c r="D36" s="4"/>
      <c r="E36" s="4" t="str">
        <f>IFERROR(VLOOKUP($D36,'02 Status'!$A:$R,4,FALSE),"")</f>
        <v/>
      </c>
      <c r="F36" s="4" t="str">
        <f>IFERROR(VLOOKUP($D36,'02 Status'!$A:$R,3,FALSE),"")</f>
        <v/>
      </c>
      <c r="G36" s="4" t="str">
        <f>IFERROR(VLOOKUP($D36,'02 Status'!$A:$R,7,FALSE),"")</f>
        <v/>
      </c>
      <c r="H36" s="4" t="str">
        <f>IFERROR(VLOOKUP($D36,'02 Status'!$A:$R,8,FALSE),"")</f>
        <v/>
      </c>
      <c r="I36" s="4" t="str">
        <f>IFERROR(VLOOKUP($D36,'02 Status'!$A:$R,9,FALSE),"")</f>
        <v/>
      </c>
      <c r="J36" s="4" t="str">
        <f>IFERROR(VLOOKUP($D36,'02 Status'!$A:$R,10,FALSE),"")</f>
        <v/>
      </c>
      <c r="K36" s="4" t="str">
        <f>IFERROR(VLOOKUP($D36,'02 Status'!$A:$R,11,FALSE),"")</f>
        <v/>
      </c>
      <c r="L36" s="4" t="str">
        <f>IFERROR(VLOOKUP($D36,'02 Status'!$A:$R,12,FALSE),"")</f>
        <v/>
      </c>
      <c r="M36" s="4" t="str">
        <f>IFERROR(VLOOKUP($D36,'02 Status'!$A:$R,13,FALSE),"")</f>
        <v/>
      </c>
      <c r="N36" s="4" t="str">
        <f>IFERROR(VLOOKUP($D36,'02 Status'!$A:$R,14,FALSE),"")</f>
        <v/>
      </c>
      <c r="O36" s="4" t="str">
        <f>IFERROR(VLOOKUP($D36,'02 Status'!$A:$R,16,FALSE),"")</f>
        <v/>
      </c>
      <c r="P36" s="6"/>
      <c r="Q36" s="4"/>
      <c r="R36" s="4">
        <f t="shared" si="0"/>
        <v>25</v>
      </c>
      <c r="S36" s="4"/>
      <c r="T36" s="4"/>
      <c r="U36" s="4"/>
      <c r="V36" s="4"/>
      <c r="W36" s="4"/>
      <c r="X36" s="4">
        <f t="shared" si="1"/>
        <v>0</v>
      </c>
      <c r="Y36" s="4" t="str">
        <f t="shared" si="2"/>
        <v>Crítica</v>
      </c>
      <c r="Z36" s="4">
        <f t="shared" si="3"/>
        <v>25</v>
      </c>
      <c r="AA36" s="4">
        <f t="shared" si="4"/>
        <v>100</v>
      </c>
      <c r="AB36" s="4">
        <f t="shared" si="5"/>
        <v>40</v>
      </c>
      <c r="AC36" s="4" t="str">
        <f t="shared" si="6"/>
        <v>Baixa</v>
      </c>
      <c r="AD36" s="4" t="str">
        <f t="shared" si="7"/>
        <v>Não</v>
      </c>
      <c r="AE36" s="4"/>
    </row>
    <row r="37" spans="1:31">
      <c r="A37" s="4"/>
      <c r="B37" s="4"/>
      <c r="C37" s="4"/>
      <c r="D37" s="4"/>
      <c r="E37" s="4" t="str">
        <f>IFERROR(VLOOKUP($D37,'02 Status'!$A:$R,4,FALSE),"")</f>
        <v/>
      </c>
      <c r="F37" s="4" t="str">
        <f>IFERROR(VLOOKUP($D37,'02 Status'!$A:$R,3,FALSE),"")</f>
        <v/>
      </c>
      <c r="G37" s="4" t="str">
        <f>IFERROR(VLOOKUP($D37,'02 Status'!$A:$R,7,FALSE),"")</f>
        <v/>
      </c>
      <c r="H37" s="4" t="str">
        <f>IFERROR(VLOOKUP($D37,'02 Status'!$A:$R,8,FALSE),"")</f>
        <v/>
      </c>
      <c r="I37" s="4" t="str">
        <f>IFERROR(VLOOKUP($D37,'02 Status'!$A:$R,9,FALSE),"")</f>
        <v/>
      </c>
      <c r="J37" s="4" t="str">
        <f>IFERROR(VLOOKUP($D37,'02 Status'!$A:$R,10,FALSE),"")</f>
        <v/>
      </c>
      <c r="K37" s="4" t="str">
        <f>IFERROR(VLOOKUP($D37,'02 Status'!$A:$R,11,FALSE),"")</f>
        <v/>
      </c>
      <c r="L37" s="4" t="str">
        <f>IFERROR(VLOOKUP($D37,'02 Status'!$A:$R,12,FALSE),"")</f>
        <v/>
      </c>
      <c r="M37" s="4" t="str">
        <f>IFERROR(VLOOKUP($D37,'02 Status'!$A:$R,13,FALSE),"")</f>
        <v/>
      </c>
      <c r="N37" s="4" t="str">
        <f>IFERROR(VLOOKUP($D37,'02 Status'!$A:$R,14,FALSE),"")</f>
        <v/>
      </c>
      <c r="O37" s="4" t="str">
        <f>IFERROR(VLOOKUP($D37,'02 Status'!$A:$R,16,FALSE),"")</f>
        <v/>
      </c>
      <c r="P37" s="6"/>
      <c r="Q37" s="4"/>
      <c r="R37" s="4">
        <f t="shared" ref="R37:R68" si="8">IF(Q37="Cliente respondeu e aguarda vendedor",100,IF(Q37="Ação vencida",95,IF(Q37="Ação hoje",90,IF(Q37="Ação amanhã",75,IF(Q37="Até 3 dias",55,25)))))</f>
        <v>25</v>
      </c>
      <c r="S37" s="4"/>
      <c r="T37" s="4"/>
      <c r="U37" s="4"/>
      <c r="V37" s="4"/>
      <c r="W37" s="4"/>
      <c r="X37" s="4">
        <f t="shared" ref="X37:X68" si="9">SUM(S37:W37)</f>
        <v>0</v>
      </c>
      <c r="Y37" s="4" t="str">
        <f t="shared" ref="Y37:Y68" si="10">IF(X37&gt;=90,"Excelente",IF(X37&gt;=75,"Boa",IF(X37&gt;=50,"Atenção","Crítica")))</f>
        <v>Crítica</v>
      </c>
      <c r="Z37" s="4">
        <f t="shared" ref="Z37:Z68" si="11">IF(M37="Muito alto",100,IF(M37="Alto",75,IF(M37="Médio",50,25)))</f>
        <v>25</v>
      </c>
      <c r="AA37" s="4">
        <f t="shared" ref="AA37:AA68" si="12">100-X37</f>
        <v>100</v>
      </c>
      <c r="AB37" s="4">
        <f t="shared" ref="AB37:AB68" si="13">ROUND(0.45*R37+0.35*Z37+0.2*AA37,0)</f>
        <v>40</v>
      </c>
      <c r="AC37" s="4" t="str">
        <f t="shared" ref="AC37:AC68" si="14">IF(AB37&gt;=85,"Máxima",IF(AB37&gt;=70,"Alta",IF(AB37&gt;=50,"Média","Baixa")))</f>
        <v>Baixa</v>
      </c>
      <c r="AD37" s="4" t="str">
        <f t="shared" ref="AD37:AD68" si="15">IF(OR(Q37="Cliente respondeu e aguarda vendedor",Q37="Ação vencida",Q37="Ação hoje"),"Sim","Não")</f>
        <v>Não</v>
      </c>
      <c r="AE37" s="4"/>
    </row>
    <row r="38" spans="1:31">
      <c r="A38" s="4"/>
      <c r="B38" s="4"/>
      <c r="C38" s="4"/>
      <c r="D38" s="4"/>
      <c r="E38" s="4" t="str">
        <f>IFERROR(VLOOKUP($D38,'02 Status'!$A:$R,4,FALSE),"")</f>
        <v/>
      </c>
      <c r="F38" s="4" t="str">
        <f>IFERROR(VLOOKUP($D38,'02 Status'!$A:$R,3,FALSE),"")</f>
        <v/>
      </c>
      <c r="G38" s="4" t="str">
        <f>IFERROR(VLOOKUP($D38,'02 Status'!$A:$R,7,FALSE),"")</f>
        <v/>
      </c>
      <c r="H38" s="4" t="str">
        <f>IFERROR(VLOOKUP($D38,'02 Status'!$A:$R,8,FALSE),"")</f>
        <v/>
      </c>
      <c r="I38" s="4" t="str">
        <f>IFERROR(VLOOKUP($D38,'02 Status'!$A:$R,9,FALSE),"")</f>
        <v/>
      </c>
      <c r="J38" s="4" t="str">
        <f>IFERROR(VLOOKUP($D38,'02 Status'!$A:$R,10,FALSE),"")</f>
        <v/>
      </c>
      <c r="K38" s="4" t="str">
        <f>IFERROR(VLOOKUP($D38,'02 Status'!$A:$R,11,FALSE),"")</f>
        <v/>
      </c>
      <c r="L38" s="4" t="str">
        <f>IFERROR(VLOOKUP($D38,'02 Status'!$A:$R,12,FALSE),"")</f>
        <v/>
      </c>
      <c r="M38" s="4" t="str">
        <f>IFERROR(VLOOKUP($D38,'02 Status'!$A:$R,13,FALSE),"")</f>
        <v/>
      </c>
      <c r="N38" s="4" t="str">
        <f>IFERROR(VLOOKUP($D38,'02 Status'!$A:$R,14,FALSE),"")</f>
        <v/>
      </c>
      <c r="O38" s="4" t="str">
        <f>IFERROR(VLOOKUP($D38,'02 Status'!$A:$R,16,FALSE),"")</f>
        <v/>
      </c>
      <c r="P38" s="6"/>
      <c r="Q38" s="4"/>
      <c r="R38" s="4">
        <f t="shared" si="8"/>
        <v>25</v>
      </c>
      <c r="S38" s="4"/>
      <c r="T38" s="4"/>
      <c r="U38" s="4"/>
      <c r="V38" s="4"/>
      <c r="W38" s="4"/>
      <c r="X38" s="4">
        <f t="shared" si="9"/>
        <v>0</v>
      </c>
      <c r="Y38" s="4" t="str">
        <f t="shared" si="10"/>
        <v>Crítica</v>
      </c>
      <c r="Z38" s="4">
        <f t="shared" si="11"/>
        <v>25</v>
      </c>
      <c r="AA38" s="4">
        <f t="shared" si="12"/>
        <v>100</v>
      </c>
      <c r="AB38" s="4">
        <f t="shared" si="13"/>
        <v>40</v>
      </c>
      <c r="AC38" s="4" t="str">
        <f t="shared" si="14"/>
        <v>Baixa</v>
      </c>
      <c r="AD38" s="4" t="str">
        <f t="shared" si="15"/>
        <v>Não</v>
      </c>
      <c r="AE38" s="4"/>
    </row>
    <row r="39" spans="1:31">
      <c r="A39" s="4"/>
      <c r="B39" s="4"/>
      <c r="C39" s="4"/>
      <c r="D39" s="4"/>
      <c r="E39" s="4" t="str">
        <f>IFERROR(VLOOKUP($D39,'02 Status'!$A:$R,4,FALSE),"")</f>
        <v/>
      </c>
      <c r="F39" s="4" t="str">
        <f>IFERROR(VLOOKUP($D39,'02 Status'!$A:$R,3,FALSE),"")</f>
        <v/>
      </c>
      <c r="G39" s="4" t="str">
        <f>IFERROR(VLOOKUP($D39,'02 Status'!$A:$R,7,FALSE),"")</f>
        <v/>
      </c>
      <c r="H39" s="4" t="str">
        <f>IFERROR(VLOOKUP($D39,'02 Status'!$A:$R,8,FALSE),"")</f>
        <v/>
      </c>
      <c r="I39" s="4" t="str">
        <f>IFERROR(VLOOKUP($D39,'02 Status'!$A:$R,9,FALSE),"")</f>
        <v/>
      </c>
      <c r="J39" s="4" t="str">
        <f>IFERROR(VLOOKUP($D39,'02 Status'!$A:$R,10,FALSE),"")</f>
        <v/>
      </c>
      <c r="K39" s="4" t="str">
        <f>IFERROR(VLOOKUP($D39,'02 Status'!$A:$R,11,FALSE),"")</f>
        <v/>
      </c>
      <c r="L39" s="4" t="str">
        <f>IFERROR(VLOOKUP($D39,'02 Status'!$A:$R,12,FALSE),"")</f>
        <v/>
      </c>
      <c r="M39" s="4" t="str">
        <f>IFERROR(VLOOKUP($D39,'02 Status'!$A:$R,13,FALSE),"")</f>
        <v/>
      </c>
      <c r="N39" s="4" t="str">
        <f>IFERROR(VLOOKUP($D39,'02 Status'!$A:$R,14,FALSE),"")</f>
        <v/>
      </c>
      <c r="O39" s="4" t="str">
        <f>IFERROR(VLOOKUP($D39,'02 Status'!$A:$R,16,FALSE),"")</f>
        <v/>
      </c>
      <c r="P39" s="6"/>
      <c r="Q39" s="4"/>
      <c r="R39" s="4">
        <f t="shared" si="8"/>
        <v>25</v>
      </c>
      <c r="S39" s="4"/>
      <c r="T39" s="4"/>
      <c r="U39" s="4"/>
      <c r="V39" s="4"/>
      <c r="W39" s="4"/>
      <c r="X39" s="4">
        <f t="shared" si="9"/>
        <v>0</v>
      </c>
      <c r="Y39" s="4" t="str">
        <f t="shared" si="10"/>
        <v>Crítica</v>
      </c>
      <c r="Z39" s="4">
        <f t="shared" si="11"/>
        <v>25</v>
      </c>
      <c r="AA39" s="4">
        <f t="shared" si="12"/>
        <v>100</v>
      </c>
      <c r="AB39" s="4">
        <f t="shared" si="13"/>
        <v>40</v>
      </c>
      <c r="AC39" s="4" t="str">
        <f t="shared" si="14"/>
        <v>Baixa</v>
      </c>
      <c r="AD39" s="4" t="str">
        <f t="shared" si="15"/>
        <v>Não</v>
      </c>
      <c r="AE39" s="4"/>
    </row>
    <row r="40" spans="1:31">
      <c r="A40" s="4"/>
      <c r="B40" s="4"/>
      <c r="C40" s="4"/>
      <c r="D40" s="4"/>
      <c r="E40" s="4" t="str">
        <f>IFERROR(VLOOKUP($D40,'02 Status'!$A:$R,4,FALSE),"")</f>
        <v/>
      </c>
      <c r="F40" s="4" t="str">
        <f>IFERROR(VLOOKUP($D40,'02 Status'!$A:$R,3,FALSE),"")</f>
        <v/>
      </c>
      <c r="G40" s="4" t="str">
        <f>IFERROR(VLOOKUP($D40,'02 Status'!$A:$R,7,FALSE),"")</f>
        <v/>
      </c>
      <c r="H40" s="4" t="str">
        <f>IFERROR(VLOOKUP($D40,'02 Status'!$A:$R,8,FALSE),"")</f>
        <v/>
      </c>
      <c r="I40" s="4" t="str">
        <f>IFERROR(VLOOKUP($D40,'02 Status'!$A:$R,9,FALSE),"")</f>
        <v/>
      </c>
      <c r="J40" s="4" t="str">
        <f>IFERROR(VLOOKUP($D40,'02 Status'!$A:$R,10,FALSE),"")</f>
        <v/>
      </c>
      <c r="K40" s="4" t="str">
        <f>IFERROR(VLOOKUP($D40,'02 Status'!$A:$R,11,FALSE),"")</f>
        <v/>
      </c>
      <c r="L40" s="4" t="str">
        <f>IFERROR(VLOOKUP($D40,'02 Status'!$A:$R,12,FALSE),"")</f>
        <v/>
      </c>
      <c r="M40" s="4" t="str">
        <f>IFERROR(VLOOKUP($D40,'02 Status'!$A:$R,13,FALSE),"")</f>
        <v/>
      </c>
      <c r="N40" s="4" t="str">
        <f>IFERROR(VLOOKUP($D40,'02 Status'!$A:$R,14,FALSE),"")</f>
        <v/>
      </c>
      <c r="O40" s="4" t="str">
        <f>IFERROR(VLOOKUP($D40,'02 Status'!$A:$R,16,FALSE),"")</f>
        <v/>
      </c>
      <c r="P40" s="6"/>
      <c r="Q40" s="4"/>
      <c r="R40" s="4">
        <f t="shared" si="8"/>
        <v>25</v>
      </c>
      <c r="S40" s="4"/>
      <c r="T40" s="4"/>
      <c r="U40" s="4"/>
      <c r="V40" s="4"/>
      <c r="W40" s="4"/>
      <c r="X40" s="4">
        <f t="shared" si="9"/>
        <v>0</v>
      </c>
      <c r="Y40" s="4" t="str">
        <f t="shared" si="10"/>
        <v>Crítica</v>
      </c>
      <c r="Z40" s="4">
        <f t="shared" si="11"/>
        <v>25</v>
      </c>
      <c r="AA40" s="4">
        <f t="shared" si="12"/>
        <v>100</v>
      </c>
      <c r="AB40" s="4">
        <f t="shared" si="13"/>
        <v>40</v>
      </c>
      <c r="AC40" s="4" t="str">
        <f t="shared" si="14"/>
        <v>Baixa</v>
      </c>
      <c r="AD40" s="4" t="str">
        <f t="shared" si="15"/>
        <v>Não</v>
      </c>
      <c r="AE40" s="4"/>
    </row>
    <row r="41" spans="1:31">
      <c r="A41" s="4"/>
      <c r="B41" s="4"/>
      <c r="C41" s="4"/>
      <c r="D41" s="4"/>
      <c r="E41" s="4" t="str">
        <f>IFERROR(VLOOKUP($D41,'02 Status'!$A:$R,4,FALSE),"")</f>
        <v/>
      </c>
      <c r="F41" s="4" t="str">
        <f>IFERROR(VLOOKUP($D41,'02 Status'!$A:$R,3,FALSE),"")</f>
        <v/>
      </c>
      <c r="G41" s="4" t="str">
        <f>IFERROR(VLOOKUP($D41,'02 Status'!$A:$R,7,FALSE),"")</f>
        <v/>
      </c>
      <c r="H41" s="4" t="str">
        <f>IFERROR(VLOOKUP($D41,'02 Status'!$A:$R,8,FALSE),"")</f>
        <v/>
      </c>
      <c r="I41" s="4" t="str">
        <f>IFERROR(VLOOKUP($D41,'02 Status'!$A:$R,9,FALSE),"")</f>
        <v/>
      </c>
      <c r="J41" s="4" t="str">
        <f>IFERROR(VLOOKUP($D41,'02 Status'!$A:$R,10,FALSE),"")</f>
        <v/>
      </c>
      <c r="K41" s="4" t="str">
        <f>IFERROR(VLOOKUP($D41,'02 Status'!$A:$R,11,FALSE),"")</f>
        <v/>
      </c>
      <c r="L41" s="4" t="str">
        <f>IFERROR(VLOOKUP($D41,'02 Status'!$A:$R,12,FALSE),"")</f>
        <v/>
      </c>
      <c r="M41" s="4" t="str">
        <f>IFERROR(VLOOKUP($D41,'02 Status'!$A:$R,13,FALSE),"")</f>
        <v/>
      </c>
      <c r="N41" s="4" t="str">
        <f>IFERROR(VLOOKUP($D41,'02 Status'!$A:$R,14,FALSE),"")</f>
        <v/>
      </c>
      <c r="O41" s="4" t="str">
        <f>IFERROR(VLOOKUP($D41,'02 Status'!$A:$R,16,FALSE),"")</f>
        <v/>
      </c>
      <c r="P41" s="6"/>
      <c r="Q41" s="4"/>
      <c r="R41" s="4">
        <f t="shared" si="8"/>
        <v>25</v>
      </c>
      <c r="S41" s="4"/>
      <c r="T41" s="4"/>
      <c r="U41" s="4"/>
      <c r="V41" s="4"/>
      <c r="W41" s="4"/>
      <c r="X41" s="4">
        <f t="shared" si="9"/>
        <v>0</v>
      </c>
      <c r="Y41" s="4" t="str">
        <f t="shared" si="10"/>
        <v>Crítica</v>
      </c>
      <c r="Z41" s="4">
        <f t="shared" si="11"/>
        <v>25</v>
      </c>
      <c r="AA41" s="4">
        <f t="shared" si="12"/>
        <v>100</v>
      </c>
      <c r="AB41" s="4">
        <f t="shared" si="13"/>
        <v>40</v>
      </c>
      <c r="AC41" s="4" t="str">
        <f t="shared" si="14"/>
        <v>Baixa</v>
      </c>
      <c r="AD41" s="4" t="str">
        <f t="shared" si="15"/>
        <v>Não</v>
      </c>
      <c r="AE41" s="4"/>
    </row>
    <row r="42" spans="1:31">
      <c r="A42" s="4"/>
      <c r="B42" s="4"/>
      <c r="C42" s="4"/>
      <c r="D42" s="4"/>
      <c r="E42" s="4" t="str">
        <f>IFERROR(VLOOKUP($D42,'02 Status'!$A:$R,4,FALSE),"")</f>
        <v/>
      </c>
      <c r="F42" s="4" t="str">
        <f>IFERROR(VLOOKUP($D42,'02 Status'!$A:$R,3,FALSE),"")</f>
        <v/>
      </c>
      <c r="G42" s="4" t="str">
        <f>IFERROR(VLOOKUP($D42,'02 Status'!$A:$R,7,FALSE),"")</f>
        <v/>
      </c>
      <c r="H42" s="4" t="str">
        <f>IFERROR(VLOOKUP($D42,'02 Status'!$A:$R,8,FALSE),"")</f>
        <v/>
      </c>
      <c r="I42" s="4" t="str">
        <f>IFERROR(VLOOKUP($D42,'02 Status'!$A:$R,9,FALSE),"")</f>
        <v/>
      </c>
      <c r="J42" s="4" t="str">
        <f>IFERROR(VLOOKUP($D42,'02 Status'!$A:$R,10,FALSE),"")</f>
        <v/>
      </c>
      <c r="K42" s="4" t="str">
        <f>IFERROR(VLOOKUP($D42,'02 Status'!$A:$R,11,FALSE),"")</f>
        <v/>
      </c>
      <c r="L42" s="4" t="str">
        <f>IFERROR(VLOOKUP($D42,'02 Status'!$A:$R,12,FALSE),"")</f>
        <v/>
      </c>
      <c r="M42" s="4" t="str">
        <f>IFERROR(VLOOKUP($D42,'02 Status'!$A:$R,13,FALSE),"")</f>
        <v/>
      </c>
      <c r="N42" s="4" t="str">
        <f>IFERROR(VLOOKUP($D42,'02 Status'!$A:$R,14,FALSE),"")</f>
        <v/>
      </c>
      <c r="O42" s="4" t="str">
        <f>IFERROR(VLOOKUP($D42,'02 Status'!$A:$R,16,FALSE),"")</f>
        <v/>
      </c>
      <c r="P42" s="6"/>
      <c r="Q42" s="4"/>
      <c r="R42" s="4">
        <f t="shared" si="8"/>
        <v>25</v>
      </c>
      <c r="S42" s="4"/>
      <c r="T42" s="4"/>
      <c r="U42" s="4"/>
      <c r="V42" s="4"/>
      <c r="W42" s="4"/>
      <c r="X42" s="4">
        <f t="shared" si="9"/>
        <v>0</v>
      </c>
      <c r="Y42" s="4" t="str">
        <f t="shared" si="10"/>
        <v>Crítica</v>
      </c>
      <c r="Z42" s="4">
        <f t="shared" si="11"/>
        <v>25</v>
      </c>
      <c r="AA42" s="4">
        <f t="shared" si="12"/>
        <v>100</v>
      </c>
      <c r="AB42" s="4">
        <f t="shared" si="13"/>
        <v>40</v>
      </c>
      <c r="AC42" s="4" t="str">
        <f t="shared" si="14"/>
        <v>Baixa</v>
      </c>
      <c r="AD42" s="4" t="str">
        <f t="shared" si="15"/>
        <v>Não</v>
      </c>
      <c r="AE42" s="4"/>
    </row>
    <row r="43" spans="1:31">
      <c r="A43" s="4"/>
      <c r="B43" s="4"/>
      <c r="C43" s="4"/>
      <c r="D43" s="4"/>
      <c r="E43" s="4" t="str">
        <f>IFERROR(VLOOKUP($D43,'02 Status'!$A:$R,4,FALSE),"")</f>
        <v/>
      </c>
      <c r="F43" s="4" t="str">
        <f>IFERROR(VLOOKUP($D43,'02 Status'!$A:$R,3,FALSE),"")</f>
        <v/>
      </c>
      <c r="G43" s="4" t="str">
        <f>IFERROR(VLOOKUP($D43,'02 Status'!$A:$R,7,FALSE),"")</f>
        <v/>
      </c>
      <c r="H43" s="4" t="str">
        <f>IFERROR(VLOOKUP($D43,'02 Status'!$A:$R,8,FALSE),"")</f>
        <v/>
      </c>
      <c r="I43" s="4" t="str">
        <f>IFERROR(VLOOKUP($D43,'02 Status'!$A:$R,9,FALSE),"")</f>
        <v/>
      </c>
      <c r="J43" s="4" t="str">
        <f>IFERROR(VLOOKUP($D43,'02 Status'!$A:$R,10,FALSE),"")</f>
        <v/>
      </c>
      <c r="K43" s="4" t="str">
        <f>IFERROR(VLOOKUP($D43,'02 Status'!$A:$R,11,FALSE),"")</f>
        <v/>
      </c>
      <c r="L43" s="4" t="str">
        <f>IFERROR(VLOOKUP($D43,'02 Status'!$A:$R,12,FALSE),"")</f>
        <v/>
      </c>
      <c r="M43" s="4" t="str">
        <f>IFERROR(VLOOKUP($D43,'02 Status'!$A:$R,13,FALSE),"")</f>
        <v/>
      </c>
      <c r="N43" s="4" t="str">
        <f>IFERROR(VLOOKUP($D43,'02 Status'!$A:$R,14,FALSE),"")</f>
        <v/>
      </c>
      <c r="O43" s="4" t="str">
        <f>IFERROR(VLOOKUP($D43,'02 Status'!$A:$R,16,FALSE),"")</f>
        <v/>
      </c>
      <c r="P43" s="6"/>
      <c r="Q43" s="4"/>
      <c r="R43" s="4">
        <f t="shared" si="8"/>
        <v>25</v>
      </c>
      <c r="S43" s="4"/>
      <c r="T43" s="4"/>
      <c r="U43" s="4"/>
      <c r="V43" s="4"/>
      <c r="W43" s="4"/>
      <c r="X43" s="4">
        <f t="shared" si="9"/>
        <v>0</v>
      </c>
      <c r="Y43" s="4" t="str">
        <f t="shared" si="10"/>
        <v>Crítica</v>
      </c>
      <c r="Z43" s="4">
        <f t="shared" si="11"/>
        <v>25</v>
      </c>
      <c r="AA43" s="4">
        <f t="shared" si="12"/>
        <v>100</v>
      </c>
      <c r="AB43" s="4">
        <f t="shared" si="13"/>
        <v>40</v>
      </c>
      <c r="AC43" s="4" t="str">
        <f t="shared" si="14"/>
        <v>Baixa</v>
      </c>
      <c r="AD43" s="4" t="str">
        <f t="shared" si="15"/>
        <v>Não</v>
      </c>
      <c r="AE43" s="4"/>
    </row>
    <row r="44" spans="1:31">
      <c r="A44" s="4"/>
      <c r="B44" s="4"/>
      <c r="C44" s="4"/>
      <c r="D44" s="4"/>
      <c r="E44" s="4" t="str">
        <f>IFERROR(VLOOKUP($D44,'02 Status'!$A:$R,4,FALSE),"")</f>
        <v/>
      </c>
      <c r="F44" s="4" t="str">
        <f>IFERROR(VLOOKUP($D44,'02 Status'!$A:$R,3,FALSE),"")</f>
        <v/>
      </c>
      <c r="G44" s="4" t="str">
        <f>IFERROR(VLOOKUP($D44,'02 Status'!$A:$R,7,FALSE),"")</f>
        <v/>
      </c>
      <c r="H44" s="4" t="str">
        <f>IFERROR(VLOOKUP($D44,'02 Status'!$A:$R,8,FALSE),"")</f>
        <v/>
      </c>
      <c r="I44" s="4" t="str">
        <f>IFERROR(VLOOKUP($D44,'02 Status'!$A:$R,9,FALSE),"")</f>
        <v/>
      </c>
      <c r="J44" s="4" t="str">
        <f>IFERROR(VLOOKUP($D44,'02 Status'!$A:$R,10,FALSE),"")</f>
        <v/>
      </c>
      <c r="K44" s="4" t="str">
        <f>IFERROR(VLOOKUP($D44,'02 Status'!$A:$R,11,FALSE),"")</f>
        <v/>
      </c>
      <c r="L44" s="4" t="str">
        <f>IFERROR(VLOOKUP($D44,'02 Status'!$A:$R,12,FALSE),"")</f>
        <v/>
      </c>
      <c r="M44" s="4" t="str">
        <f>IFERROR(VLOOKUP($D44,'02 Status'!$A:$R,13,FALSE),"")</f>
        <v/>
      </c>
      <c r="N44" s="4" t="str">
        <f>IFERROR(VLOOKUP($D44,'02 Status'!$A:$R,14,FALSE),"")</f>
        <v/>
      </c>
      <c r="O44" s="4" t="str">
        <f>IFERROR(VLOOKUP($D44,'02 Status'!$A:$R,16,FALSE),"")</f>
        <v/>
      </c>
      <c r="P44" s="6"/>
      <c r="Q44" s="4"/>
      <c r="R44" s="4">
        <f t="shared" si="8"/>
        <v>25</v>
      </c>
      <c r="S44" s="4"/>
      <c r="T44" s="4"/>
      <c r="U44" s="4"/>
      <c r="V44" s="4"/>
      <c r="W44" s="4"/>
      <c r="X44" s="4">
        <f t="shared" si="9"/>
        <v>0</v>
      </c>
      <c r="Y44" s="4" t="str">
        <f t="shared" si="10"/>
        <v>Crítica</v>
      </c>
      <c r="Z44" s="4">
        <f t="shared" si="11"/>
        <v>25</v>
      </c>
      <c r="AA44" s="4">
        <f t="shared" si="12"/>
        <v>100</v>
      </c>
      <c r="AB44" s="4">
        <f t="shared" si="13"/>
        <v>40</v>
      </c>
      <c r="AC44" s="4" t="str">
        <f t="shared" si="14"/>
        <v>Baixa</v>
      </c>
      <c r="AD44" s="4" t="str">
        <f t="shared" si="15"/>
        <v>Não</v>
      </c>
      <c r="AE44" s="4"/>
    </row>
    <row r="45" spans="1:31">
      <c r="A45" s="4"/>
      <c r="B45" s="4"/>
      <c r="C45" s="4"/>
      <c r="D45" s="4"/>
      <c r="E45" s="4" t="str">
        <f>IFERROR(VLOOKUP($D45,'02 Status'!$A:$R,4,FALSE),"")</f>
        <v/>
      </c>
      <c r="F45" s="4" t="str">
        <f>IFERROR(VLOOKUP($D45,'02 Status'!$A:$R,3,FALSE),"")</f>
        <v/>
      </c>
      <c r="G45" s="4" t="str">
        <f>IFERROR(VLOOKUP($D45,'02 Status'!$A:$R,7,FALSE),"")</f>
        <v/>
      </c>
      <c r="H45" s="4" t="str">
        <f>IFERROR(VLOOKUP($D45,'02 Status'!$A:$R,8,FALSE),"")</f>
        <v/>
      </c>
      <c r="I45" s="4" t="str">
        <f>IFERROR(VLOOKUP($D45,'02 Status'!$A:$R,9,FALSE),"")</f>
        <v/>
      </c>
      <c r="J45" s="4" t="str">
        <f>IFERROR(VLOOKUP($D45,'02 Status'!$A:$R,10,FALSE),"")</f>
        <v/>
      </c>
      <c r="K45" s="4" t="str">
        <f>IFERROR(VLOOKUP($D45,'02 Status'!$A:$R,11,FALSE),"")</f>
        <v/>
      </c>
      <c r="L45" s="4" t="str">
        <f>IFERROR(VLOOKUP($D45,'02 Status'!$A:$R,12,FALSE),"")</f>
        <v/>
      </c>
      <c r="M45" s="4" t="str">
        <f>IFERROR(VLOOKUP($D45,'02 Status'!$A:$R,13,FALSE),"")</f>
        <v/>
      </c>
      <c r="N45" s="4" t="str">
        <f>IFERROR(VLOOKUP($D45,'02 Status'!$A:$R,14,FALSE),"")</f>
        <v/>
      </c>
      <c r="O45" s="4" t="str">
        <f>IFERROR(VLOOKUP($D45,'02 Status'!$A:$R,16,FALSE),"")</f>
        <v/>
      </c>
      <c r="P45" s="6"/>
      <c r="Q45" s="4"/>
      <c r="R45" s="4">
        <f t="shared" si="8"/>
        <v>25</v>
      </c>
      <c r="S45" s="4"/>
      <c r="T45" s="4"/>
      <c r="U45" s="4"/>
      <c r="V45" s="4"/>
      <c r="W45" s="4"/>
      <c r="X45" s="4">
        <f t="shared" si="9"/>
        <v>0</v>
      </c>
      <c r="Y45" s="4" t="str">
        <f t="shared" si="10"/>
        <v>Crítica</v>
      </c>
      <c r="Z45" s="4">
        <f t="shared" si="11"/>
        <v>25</v>
      </c>
      <c r="AA45" s="4">
        <f t="shared" si="12"/>
        <v>100</v>
      </c>
      <c r="AB45" s="4">
        <f t="shared" si="13"/>
        <v>40</v>
      </c>
      <c r="AC45" s="4" t="str">
        <f t="shared" si="14"/>
        <v>Baixa</v>
      </c>
      <c r="AD45" s="4" t="str">
        <f t="shared" si="15"/>
        <v>Não</v>
      </c>
      <c r="AE45" s="4"/>
    </row>
    <row r="46" spans="1:31">
      <c r="A46" s="4"/>
      <c r="B46" s="4"/>
      <c r="C46" s="4"/>
      <c r="D46" s="4"/>
      <c r="E46" s="4" t="str">
        <f>IFERROR(VLOOKUP($D46,'02 Status'!$A:$R,4,FALSE),"")</f>
        <v/>
      </c>
      <c r="F46" s="4" t="str">
        <f>IFERROR(VLOOKUP($D46,'02 Status'!$A:$R,3,FALSE),"")</f>
        <v/>
      </c>
      <c r="G46" s="4" t="str">
        <f>IFERROR(VLOOKUP($D46,'02 Status'!$A:$R,7,FALSE),"")</f>
        <v/>
      </c>
      <c r="H46" s="4" t="str">
        <f>IFERROR(VLOOKUP($D46,'02 Status'!$A:$R,8,FALSE),"")</f>
        <v/>
      </c>
      <c r="I46" s="4" t="str">
        <f>IFERROR(VLOOKUP($D46,'02 Status'!$A:$R,9,FALSE),"")</f>
        <v/>
      </c>
      <c r="J46" s="4" t="str">
        <f>IFERROR(VLOOKUP($D46,'02 Status'!$A:$R,10,FALSE),"")</f>
        <v/>
      </c>
      <c r="K46" s="4" t="str">
        <f>IFERROR(VLOOKUP($D46,'02 Status'!$A:$R,11,FALSE),"")</f>
        <v/>
      </c>
      <c r="L46" s="4" t="str">
        <f>IFERROR(VLOOKUP($D46,'02 Status'!$A:$R,12,FALSE),"")</f>
        <v/>
      </c>
      <c r="M46" s="4" t="str">
        <f>IFERROR(VLOOKUP($D46,'02 Status'!$A:$R,13,FALSE),"")</f>
        <v/>
      </c>
      <c r="N46" s="4" t="str">
        <f>IFERROR(VLOOKUP($D46,'02 Status'!$A:$R,14,FALSE),"")</f>
        <v/>
      </c>
      <c r="O46" s="4" t="str">
        <f>IFERROR(VLOOKUP($D46,'02 Status'!$A:$R,16,FALSE),"")</f>
        <v/>
      </c>
      <c r="P46" s="6"/>
      <c r="Q46" s="4"/>
      <c r="R46" s="4">
        <f t="shared" si="8"/>
        <v>25</v>
      </c>
      <c r="S46" s="4"/>
      <c r="T46" s="4"/>
      <c r="U46" s="4"/>
      <c r="V46" s="4"/>
      <c r="W46" s="4"/>
      <c r="X46" s="4">
        <f t="shared" si="9"/>
        <v>0</v>
      </c>
      <c r="Y46" s="4" t="str">
        <f t="shared" si="10"/>
        <v>Crítica</v>
      </c>
      <c r="Z46" s="4">
        <f t="shared" si="11"/>
        <v>25</v>
      </c>
      <c r="AA46" s="4">
        <f t="shared" si="12"/>
        <v>100</v>
      </c>
      <c r="AB46" s="4">
        <f t="shared" si="13"/>
        <v>40</v>
      </c>
      <c r="AC46" s="4" t="str">
        <f t="shared" si="14"/>
        <v>Baixa</v>
      </c>
      <c r="AD46" s="4" t="str">
        <f t="shared" si="15"/>
        <v>Não</v>
      </c>
      <c r="AE46" s="4"/>
    </row>
    <row r="47" spans="1:31">
      <c r="A47" s="4"/>
      <c r="B47" s="4"/>
      <c r="C47" s="4"/>
      <c r="D47" s="4"/>
      <c r="E47" s="4" t="str">
        <f>IFERROR(VLOOKUP($D47,'02 Status'!$A:$R,4,FALSE),"")</f>
        <v/>
      </c>
      <c r="F47" s="4" t="str">
        <f>IFERROR(VLOOKUP($D47,'02 Status'!$A:$R,3,FALSE),"")</f>
        <v/>
      </c>
      <c r="G47" s="4" t="str">
        <f>IFERROR(VLOOKUP($D47,'02 Status'!$A:$R,7,FALSE),"")</f>
        <v/>
      </c>
      <c r="H47" s="4" t="str">
        <f>IFERROR(VLOOKUP($D47,'02 Status'!$A:$R,8,FALSE),"")</f>
        <v/>
      </c>
      <c r="I47" s="4" t="str">
        <f>IFERROR(VLOOKUP($D47,'02 Status'!$A:$R,9,FALSE),"")</f>
        <v/>
      </c>
      <c r="J47" s="4" t="str">
        <f>IFERROR(VLOOKUP($D47,'02 Status'!$A:$R,10,FALSE),"")</f>
        <v/>
      </c>
      <c r="K47" s="4" t="str">
        <f>IFERROR(VLOOKUP($D47,'02 Status'!$A:$R,11,FALSE),"")</f>
        <v/>
      </c>
      <c r="L47" s="4" t="str">
        <f>IFERROR(VLOOKUP($D47,'02 Status'!$A:$R,12,FALSE),"")</f>
        <v/>
      </c>
      <c r="M47" s="4" t="str">
        <f>IFERROR(VLOOKUP($D47,'02 Status'!$A:$R,13,FALSE),"")</f>
        <v/>
      </c>
      <c r="N47" s="4" t="str">
        <f>IFERROR(VLOOKUP($D47,'02 Status'!$A:$R,14,FALSE),"")</f>
        <v/>
      </c>
      <c r="O47" s="4" t="str">
        <f>IFERROR(VLOOKUP($D47,'02 Status'!$A:$R,16,FALSE),"")</f>
        <v/>
      </c>
      <c r="P47" s="6"/>
      <c r="Q47" s="4"/>
      <c r="R47" s="4">
        <f t="shared" si="8"/>
        <v>25</v>
      </c>
      <c r="S47" s="4"/>
      <c r="T47" s="4"/>
      <c r="U47" s="4"/>
      <c r="V47" s="4"/>
      <c r="W47" s="4"/>
      <c r="X47" s="4">
        <f t="shared" si="9"/>
        <v>0</v>
      </c>
      <c r="Y47" s="4" t="str">
        <f t="shared" si="10"/>
        <v>Crítica</v>
      </c>
      <c r="Z47" s="4">
        <f t="shared" si="11"/>
        <v>25</v>
      </c>
      <c r="AA47" s="4">
        <f t="shared" si="12"/>
        <v>100</v>
      </c>
      <c r="AB47" s="4">
        <f t="shared" si="13"/>
        <v>40</v>
      </c>
      <c r="AC47" s="4" t="str">
        <f t="shared" si="14"/>
        <v>Baixa</v>
      </c>
      <c r="AD47" s="4" t="str">
        <f t="shared" si="15"/>
        <v>Não</v>
      </c>
      <c r="AE47" s="4"/>
    </row>
    <row r="48" spans="1:31">
      <c r="A48" s="4"/>
      <c r="B48" s="4"/>
      <c r="C48" s="4"/>
      <c r="D48" s="4"/>
      <c r="E48" s="4" t="str">
        <f>IFERROR(VLOOKUP($D48,'02 Status'!$A:$R,4,FALSE),"")</f>
        <v/>
      </c>
      <c r="F48" s="4" t="str">
        <f>IFERROR(VLOOKUP($D48,'02 Status'!$A:$R,3,FALSE),"")</f>
        <v/>
      </c>
      <c r="G48" s="4" t="str">
        <f>IFERROR(VLOOKUP($D48,'02 Status'!$A:$R,7,FALSE),"")</f>
        <v/>
      </c>
      <c r="H48" s="4" t="str">
        <f>IFERROR(VLOOKUP($D48,'02 Status'!$A:$R,8,FALSE),"")</f>
        <v/>
      </c>
      <c r="I48" s="4" t="str">
        <f>IFERROR(VLOOKUP($D48,'02 Status'!$A:$R,9,FALSE),"")</f>
        <v/>
      </c>
      <c r="J48" s="4" t="str">
        <f>IFERROR(VLOOKUP($D48,'02 Status'!$A:$R,10,FALSE),"")</f>
        <v/>
      </c>
      <c r="K48" s="4" t="str">
        <f>IFERROR(VLOOKUP($D48,'02 Status'!$A:$R,11,FALSE),"")</f>
        <v/>
      </c>
      <c r="L48" s="4" t="str">
        <f>IFERROR(VLOOKUP($D48,'02 Status'!$A:$R,12,FALSE),"")</f>
        <v/>
      </c>
      <c r="M48" s="4" t="str">
        <f>IFERROR(VLOOKUP($D48,'02 Status'!$A:$R,13,FALSE),"")</f>
        <v/>
      </c>
      <c r="N48" s="4" t="str">
        <f>IFERROR(VLOOKUP($D48,'02 Status'!$A:$R,14,FALSE),"")</f>
        <v/>
      </c>
      <c r="O48" s="4" t="str">
        <f>IFERROR(VLOOKUP($D48,'02 Status'!$A:$R,16,FALSE),"")</f>
        <v/>
      </c>
      <c r="P48" s="6"/>
      <c r="Q48" s="4"/>
      <c r="R48" s="4">
        <f t="shared" si="8"/>
        <v>25</v>
      </c>
      <c r="S48" s="4"/>
      <c r="T48" s="4"/>
      <c r="U48" s="4"/>
      <c r="V48" s="4"/>
      <c r="W48" s="4"/>
      <c r="X48" s="4">
        <f t="shared" si="9"/>
        <v>0</v>
      </c>
      <c r="Y48" s="4" t="str">
        <f t="shared" si="10"/>
        <v>Crítica</v>
      </c>
      <c r="Z48" s="4">
        <f t="shared" si="11"/>
        <v>25</v>
      </c>
      <c r="AA48" s="4">
        <f t="shared" si="12"/>
        <v>100</v>
      </c>
      <c r="AB48" s="4">
        <f t="shared" si="13"/>
        <v>40</v>
      </c>
      <c r="AC48" s="4" t="str">
        <f t="shared" si="14"/>
        <v>Baixa</v>
      </c>
      <c r="AD48" s="4" t="str">
        <f t="shared" si="15"/>
        <v>Não</v>
      </c>
      <c r="AE48" s="4"/>
    </row>
    <row r="49" spans="1:31">
      <c r="A49" s="4"/>
      <c r="B49" s="4"/>
      <c r="C49" s="4"/>
      <c r="D49" s="4"/>
      <c r="E49" s="4" t="str">
        <f>IFERROR(VLOOKUP($D49,'02 Status'!$A:$R,4,FALSE),"")</f>
        <v/>
      </c>
      <c r="F49" s="4" t="str">
        <f>IFERROR(VLOOKUP($D49,'02 Status'!$A:$R,3,FALSE),"")</f>
        <v/>
      </c>
      <c r="G49" s="4" t="str">
        <f>IFERROR(VLOOKUP($D49,'02 Status'!$A:$R,7,FALSE),"")</f>
        <v/>
      </c>
      <c r="H49" s="4" t="str">
        <f>IFERROR(VLOOKUP($D49,'02 Status'!$A:$R,8,FALSE),"")</f>
        <v/>
      </c>
      <c r="I49" s="4" t="str">
        <f>IFERROR(VLOOKUP($D49,'02 Status'!$A:$R,9,FALSE),"")</f>
        <v/>
      </c>
      <c r="J49" s="4" t="str">
        <f>IFERROR(VLOOKUP($D49,'02 Status'!$A:$R,10,FALSE),"")</f>
        <v/>
      </c>
      <c r="K49" s="4" t="str">
        <f>IFERROR(VLOOKUP($D49,'02 Status'!$A:$R,11,FALSE),"")</f>
        <v/>
      </c>
      <c r="L49" s="4" t="str">
        <f>IFERROR(VLOOKUP($D49,'02 Status'!$A:$R,12,FALSE),"")</f>
        <v/>
      </c>
      <c r="M49" s="4" t="str">
        <f>IFERROR(VLOOKUP($D49,'02 Status'!$A:$R,13,FALSE),"")</f>
        <v/>
      </c>
      <c r="N49" s="4" t="str">
        <f>IFERROR(VLOOKUP($D49,'02 Status'!$A:$R,14,FALSE),"")</f>
        <v/>
      </c>
      <c r="O49" s="4" t="str">
        <f>IFERROR(VLOOKUP($D49,'02 Status'!$A:$R,16,FALSE),"")</f>
        <v/>
      </c>
      <c r="P49" s="6"/>
      <c r="Q49" s="4"/>
      <c r="R49" s="4">
        <f t="shared" si="8"/>
        <v>25</v>
      </c>
      <c r="S49" s="4"/>
      <c r="T49" s="4"/>
      <c r="U49" s="4"/>
      <c r="V49" s="4"/>
      <c r="W49" s="4"/>
      <c r="X49" s="4">
        <f t="shared" si="9"/>
        <v>0</v>
      </c>
      <c r="Y49" s="4" t="str">
        <f t="shared" si="10"/>
        <v>Crítica</v>
      </c>
      <c r="Z49" s="4">
        <f t="shared" si="11"/>
        <v>25</v>
      </c>
      <c r="AA49" s="4">
        <f t="shared" si="12"/>
        <v>100</v>
      </c>
      <c r="AB49" s="4">
        <f t="shared" si="13"/>
        <v>40</v>
      </c>
      <c r="AC49" s="4" t="str">
        <f t="shared" si="14"/>
        <v>Baixa</v>
      </c>
      <c r="AD49" s="4" t="str">
        <f t="shared" si="15"/>
        <v>Não</v>
      </c>
      <c r="AE49" s="4"/>
    </row>
    <row r="50" spans="1:31">
      <c r="A50" s="4"/>
      <c r="B50" s="4"/>
      <c r="C50" s="4"/>
      <c r="D50" s="4"/>
      <c r="E50" s="4" t="str">
        <f>IFERROR(VLOOKUP($D50,'02 Status'!$A:$R,4,FALSE),"")</f>
        <v/>
      </c>
      <c r="F50" s="4" t="str">
        <f>IFERROR(VLOOKUP($D50,'02 Status'!$A:$R,3,FALSE),"")</f>
        <v/>
      </c>
      <c r="G50" s="4" t="str">
        <f>IFERROR(VLOOKUP($D50,'02 Status'!$A:$R,7,FALSE),"")</f>
        <v/>
      </c>
      <c r="H50" s="4" t="str">
        <f>IFERROR(VLOOKUP($D50,'02 Status'!$A:$R,8,FALSE),"")</f>
        <v/>
      </c>
      <c r="I50" s="4" t="str">
        <f>IFERROR(VLOOKUP($D50,'02 Status'!$A:$R,9,FALSE),"")</f>
        <v/>
      </c>
      <c r="J50" s="4" t="str">
        <f>IFERROR(VLOOKUP($D50,'02 Status'!$A:$R,10,FALSE),"")</f>
        <v/>
      </c>
      <c r="K50" s="4" t="str">
        <f>IFERROR(VLOOKUP($D50,'02 Status'!$A:$R,11,FALSE),"")</f>
        <v/>
      </c>
      <c r="L50" s="4" t="str">
        <f>IFERROR(VLOOKUP($D50,'02 Status'!$A:$R,12,FALSE),"")</f>
        <v/>
      </c>
      <c r="M50" s="4" t="str">
        <f>IFERROR(VLOOKUP($D50,'02 Status'!$A:$R,13,FALSE),"")</f>
        <v/>
      </c>
      <c r="N50" s="4" t="str">
        <f>IFERROR(VLOOKUP($D50,'02 Status'!$A:$R,14,FALSE),"")</f>
        <v/>
      </c>
      <c r="O50" s="4" t="str">
        <f>IFERROR(VLOOKUP($D50,'02 Status'!$A:$R,16,FALSE),"")</f>
        <v/>
      </c>
      <c r="P50" s="6"/>
      <c r="Q50" s="4"/>
      <c r="R50" s="4">
        <f t="shared" si="8"/>
        <v>25</v>
      </c>
      <c r="S50" s="4"/>
      <c r="T50" s="4"/>
      <c r="U50" s="4"/>
      <c r="V50" s="4"/>
      <c r="W50" s="4"/>
      <c r="X50" s="4">
        <f t="shared" si="9"/>
        <v>0</v>
      </c>
      <c r="Y50" s="4" t="str">
        <f t="shared" si="10"/>
        <v>Crítica</v>
      </c>
      <c r="Z50" s="4">
        <f t="shared" si="11"/>
        <v>25</v>
      </c>
      <c r="AA50" s="4">
        <f t="shared" si="12"/>
        <v>100</v>
      </c>
      <c r="AB50" s="4">
        <f t="shared" si="13"/>
        <v>40</v>
      </c>
      <c r="AC50" s="4" t="str">
        <f t="shared" si="14"/>
        <v>Baixa</v>
      </c>
      <c r="AD50" s="4" t="str">
        <f t="shared" si="15"/>
        <v>Não</v>
      </c>
      <c r="AE50" s="4"/>
    </row>
    <row r="51" spans="1:31">
      <c r="A51" s="4"/>
      <c r="B51" s="4"/>
      <c r="C51" s="4"/>
      <c r="D51" s="4"/>
      <c r="E51" s="4" t="str">
        <f>IFERROR(VLOOKUP($D51,'02 Status'!$A:$R,4,FALSE),"")</f>
        <v/>
      </c>
      <c r="F51" s="4" t="str">
        <f>IFERROR(VLOOKUP($D51,'02 Status'!$A:$R,3,FALSE),"")</f>
        <v/>
      </c>
      <c r="G51" s="4" t="str">
        <f>IFERROR(VLOOKUP($D51,'02 Status'!$A:$R,7,FALSE),"")</f>
        <v/>
      </c>
      <c r="H51" s="4" t="str">
        <f>IFERROR(VLOOKUP($D51,'02 Status'!$A:$R,8,FALSE),"")</f>
        <v/>
      </c>
      <c r="I51" s="4" t="str">
        <f>IFERROR(VLOOKUP($D51,'02 Status'!$A:$R,9,FALSE),"")</f>
        <v/>
      </c>
      <c r="J51" s="4" t="str">
        <f>IFERROR(VLOOKUP($D51,'02 Status'!$A:$R,10,FALSE),"")</f>
        <v/>
      </c>
      <c r="K51" s="4" t="str">
        <f>IFERROR(VLOOKUP($D51,'02 Status'!$A:$R,11,FALSE),"")</f>
        <v/>
      </c>
      <c r="L51" s="4" t="str">
        <f>IFERROR(VLOOKUP($D51,'02 Status'!$A:$R,12,FALSE),"")</f>
        <v/>
      </c>
      <c r="M51" s="4" t="str">
        <f>IFERROR(VLOOKUP($D51,'02 Status'!$A:$R,13,FALSE),"")</f>
        <v/>
      </c>
      <c r="N51" s="4" t="str">
        <f>IFERROR(VLOOKUP($D51,'02 Status'!$A:$R,14,FALSE),"")</f>
        <v/>
      </c>
      <c r="O51" s="4" t="str">
        <f>IFERROR(VLOOKUP($D51,'02 Status'!$A:$R,16,FALSE),"")</f>
        <v/>
      </c>
      <c r="P51" s="6"/>
      <c r="Q51" s="4"/>
      <c r="R51" s="4">
        <f t="shared" si="8"/>
        <v>25</v>
      </c>
      <c r="S51" s="4"/>
      <c r="T51" s="4"/>
      <c r="U51" s="4"/>
      <c r="V51" s="4"/>
      <c r="W51" s="4"/>
      <c r="X51" s="4">
        <f t="shared" si="9"/>
        <v>0</v>
      </c>
      <c r="Y51" s="4" t="str">
        <f t="shared" si="10"/>
        <v>Crítica</v>
      </c>
      <c r="Z51" s="4">
        <f t="shared" si="11"/>
        <v>25</v>
      </c>
      <c r="AA51" s="4">
        <f t="shared" si="12"/>
        <v>100</v>
      </c>
      <c r="AB51" s="4">
        <f t="shared" si="13"/>
        <v>40</v>
      </c>
      <c r="AC51" s="4" t="str">
        <f t="shared" si="14"/>
        <v>Baixa</v>
      </c>
      <c r="AD51" s="4" t="str">
        <f t="shared" si="15"/>
        <v>Não</v>
      </c>
      <c r="AE51" s="4"/>
    </row>
    <row r="52" spans="1:31">
      <c r="A52" s="4"/>
      <c r="B52" s="4"/>
      <c r="C52" s="4"/>
      <c r="D52" s="4"/>
      <c r="E52" s="4" t="str">
        <f>IFERROR(VLOOKUP($D52,'02 Status'!$A:$R,4,FALSE),"")</f>
        <v/>
      </c>
      <c r="F52" s="4" t="str">
        <f>IFERROR(VLOOKUP($D52,'02 Status'!$A:$R,3,FALSE),"")</f>
        <v/>
      </c>
      <c r="G52" s="4" t="str">
        <f>IFERROR(VLOOKUP($D52,'02 Status'!$A:$R,7,FALSE),"")</f>
        <v/>
      </c>
      <c r="H52" s="4" t="str">
        <f>IFERROR(VLOOKUP($D52,'02 Status'!$A:$R,8,FALSE),"")</f>
        <v/>
      </c>
      <c r="I52" s="4" t="str">
        <f>IFERROR(VLOOKUP($D52,'02 Status'!$A:$R,9,FALSE),"")</f>
        <v/>
      </c>
      <c r="J52" s="4" t="str">
        <f>IFERROR(VLOOKUP($D52,'02 Status'!$A:$R,10,FALSE),"")</f>
        <v/>
      </c>
      <c r="K52" s="4" t="str">
        <f>IFERROR(VLOOKUP($D52,'02 Status'!$A:$R,11,FALSE),"")</f>
        <v/>
      </c>
      <c r="L52" s="4" t="str">
        <f>IFERROR(VLOOKUP($D52,'02 Status'!$A:$R,12,FALSE),"")</f>
        <v/>
      </c>
      <c r="M52" s="4" t="str">
        <f>IFERROR(VLOOKUP($D52,'02 Status'!$A:$R,13,FALSE),"")</f>
        <v/>
      </c>
      <c r="N52" s="4" t="str">
        <f>IFERROR(VLOOKUP($D52,'02 Status'!$A:$R,14,FALSE),"")</f>
        <v/>
      </c>
      <c r="O52" s="4" t="str">
        <f>IFERROR(VLOOKUP($D52,'02 Status'!$A:$R,16,FALSE),"")</f>
        <v/>
      </c>
      <c r="P52" s="6"/>
      <c r="Q52" s="4"/>
      <c r="R52" s="4">
        <f t="shared" si="8"/>
        <v>25</v>
      </c>
      <c r="S52" s="4"/>
      <c r="T52" s="4"/>
      <c r="U52" s="4"/>
      <c r="V52" s="4"/>
      <c r="W52" s="4"/>
      <c r="X52" s="4">
        <f t="shared" si="9"/>
        <v>0</v>
      </c>
      <c r="Y52" s="4" t="str">
        <f t="shared" si="10"/>
        <v>Crítica</v>
      </c>
      <c r="Z52" s="4">
        <f t="shared" si="11"/>
        <v>25</v>
      </c>
      <c r="AA52" s="4">
        <f t="shared" si="12"/>
        <v>100</v>
      </c>
      <c r="AB52" s="4">
        <f t="shared" si="13"/>
        <v>40</v>
      </c>
      <c r="AC52" s="4" t="str">
        <f t="shared" si="14"/>
        <v>Baixa</v>
      </c>
      <c r="AD52" s="4" t="str">
        <f t="shared" si="15"/>
        <v>Não</v>
      </c>
      <c r="AE52" s="4"/>
    </row>
    <row r="53" spans="1:31">
      <c r="A53" s="4"/>
      <c r="B53" s="4"/>
      <c r="C53" s="4"/>
      <c r="D53" s="4"/>
      <c r="E53" s="4" t="str">
        <f>IFERROR(VLOOKUP($D53,'02 Status'!$A:$R,4,FALSE),"")</f>
        <v/>
      </c>
      <c r="F53" s="4" t="str">
        <f>IFERROR(VLOOKUP($D53,'02 Status'!$A:$R,3,FALSE),"")</f>
        <v/>
      </c>
      <c r="G53" s="4" t="str">
        <f>IFERROR(VLOOKUP($D53,'02 Status'!$A:$R,7,FALSE),"")</f>
        <v/>
      </c>
      <c r="H53" s="4" t="str">
        <f>IFERROR(VLOOKUP($D53,'02 Status'!$A:$R,8,FALSE),"")</f>
        <v/>
      </c>
      <c r="I53" s="4" t="str">
        <f>IFERROR(VLOOKUP($D53,'02 Status'!$A:$R,9,FALSE),"")</f>
        <v/>
      </c>
      <c r="J53" s="4" t="str">
        <f>IFERROR(VLOOKUP($D53,'02 Status'!$A:$R,10,FALSE),"")</f>
        <v/>
      </c>
      <c r="K53" s="4" t="str">
        <f>IFERROR(VLOOKUP($D53,'02 Status'!$A:$R,11,FALSE),"")</f>
        <v/>
      </c>
      <c r="L53" s="4" t="str">
        <f>IFERROR(VLOOKUP($D53,'02 Status'!$A:$R,12,FALSE),"")</f>
        <v/>
      </c>
      <c r="M53" s="4" t="str">
        <f>IFERROR(VLOOKUP($D53,'02 Status'!$A:$R,13,FALSE),"")</f>
        <v/>
      </c>
      <c r="N53" s="4" t="str">
        <f>IFERROR(VLOOKUP($D53,'02 Status'!$A:$R,14,FALSE),"")</f>
        <v/>
      </c>
      <c r="O53" s="4" t="str">
        <f>IFERROR(VLOOKUP($D53,'02 Status'!$A:$R,16,FALSE),"")</f>
        <v/>
      </c>
      <c r="P53" s="6"/>
      <c r="Q53" s="4"/>
      <c r="R53" s="4">
        <f t="shared" si="8"/>
        <v>25</v>
      </c>
      <c r="S53" s="4"/>
      <c r="T53" s="4"/>
      <c r="U53" s="4"/>
      <c r="V53" s="4"/>
      <c r="W53" s="4"/>
      <c r="X53" s="4">
        <f t="shared" si="9"/>
        <v>0</v>
      </c>
      <c r="Y53" s="4" t="str">
        <f t="shared" si="10"/>
        <v>Crítica</v>
      </c>
      <c r="Z53" s="4">
        <f t="shared" si="11"/>
        <v>25</v>
      </c>
      <c r="AA53" s="4">
        <f t="shared" si="12"/>
        <v>100</v>
      </c>
      <c r="AB53" s="4">
        <f t="shared" si="13"/>
        <v>40</v>
      </c>
      <c r="AC53" s="4" t="str">
        <f t="shared" si="14"/>
        <v>Baixa</v>
      </c>
      <c r="AD53" s="4" t="str">
        <f t="shared" si="15"/>
        <v>Não</v>
      </c>
      <c r="AE53" s="4"/>
    </row>
    <row r="54" spans="1:31">
      <c r="A54" s="4"/>
      <c r="B54" s="4"/>
      <c r="C54" s="4"/>
      <c r="D54" s="4"/>
      <c r="E54" s="4" t="str">
        <f>IFERROR(VLOOKUP($D54,'02 Status'!$A:$R,4,FALSE),"")</f>
        <v/>
      </c>
      <c r="F54" s="4" t="str">
        <f>IFERROR(VLOOKUP($D54,'02 Status'!$A:$R,3,FALSE),"")</f>
        <v/>
      </c>
      <c r="G54" s="4" t="str">
        <f>IFERROR(VLOOKUP($D54,'02 Status'!$A:$R,7,FALSE),"")</f>
        <v/>
      </c>
      <c r="H54" s="4" t="str">
        <f>IFERROR(VLOOKUP($D54,'02 Status'!$A:$R,8,FALSE),"")</f>
        <v/>
      </c>
      <c r="I54" s="4" t="str">
        <f>IFERROR(VLOOKUP($D54,'02 Status'!$A:$R,9,FALSE),"")</f>
        <v/>
      </c>
      <c r="J54" s="4" t="str">
        <f>IFERROR(VLOOKUP($D54,'02 Status'!$A:$R,10,FALSE),"")</f>
        <v/>
      </c>
      <c r="K54" s="4" t="str">
        <f>IFERROR(VLOOKUP($D54,'02 Status'!$A:$R,11,FALSE),"")</f>
        <v/>
      </c>
      <c r="L54" s="4" t="str">
        <f>IFERROR(VLOOKUP($D54,'02 Status'!$A:$R,12,FALSE),"")</f>
        <v/>
      </c>
      <c r="M54" s="4" t="str">
        <f>IFERROR(VLOOKUP($D54,'02 Status'!$A:$R,13,FALSE),"")</f>
        <v/>
      </c>
      <c r="N54" s="4" t="str">
        <f>IFERROR(VLOOKUP($D54,'02 Status'!$A:$R,14,FALSE),"")</f>
        <v/>
      </c>
      <c r="O54" s="4" t="str">
        <f>IFERROR(VLOOKUP($D54,'02 Status'!$A:$R,16,FALSE),"")</f>
        <v/>
      </c>
      <c r="P54" s="6"/>
      <c r="Q54" s="4"/>
      <c r="R54" s="4">
        <f t="shared" si="8"/>
        <v>25</v>
      </c>
      <c r="S54" s="4"/>
      <c r="T54" s="4"/>
      <c r="U54" s="4"/>
      <c r="V54" s="4"/>
      <c r="W54" s="4"/>
      <c r="X54" s="4">
        <f t="shared" si="9"/>
        <v>0</v>
      </c>
      <c r="Y54" s="4" t="str">
        <f t="shared" si="10"/>
        <v>Crítica</v>
      </c>
      <c r="Z54" s="4">
        <f t="shared" si="11"/>
        <v>25</v>
      </c>
      <c r="AA54" s="4">
        <f t="shared" si="12"/>
        <v>100</v>
      </c>
      <c r="AB54" s="4">
        <f t="shared" si="13"/>
        <v>40</v>
      </c>
      <c r="AC54" s="4" t="str">
        <f t="shared" si="14"/>
        <v>Baixa</v>
      </c>
      <c r="AD54" s="4" t="str">
        <f t="shared" si="15"/>
        <v>Não</v>
      </c>
      <c r="AE54" s="4"/>
    </row>
    <row r="55" spans="1:31">
      <c r="A55" s="4"/>
      <c r="B55" s="4"/>
      <c r="C55" s="4"/>
      <c r="D55" s="4"/>
      <c r="E55" s="4" t="str">
        <f>IFERROR(VLOOKUP($D55,'02 Status'!$A:$R,4,FALSE),"")</f>
        <v/>
      </c>
      <c r="F55" s="4" t="str">
        <f>IFERROR(VLOOKUP($D55,'02 Status'!$A:$R,3,FALSE),"")</f>
        <v/>
      </c>
      <c r="G55" s="4" t="str">
        <f>IFERROR(VLOOKUP($D55,'02 Status'!$A:$R,7,FALSE),"")</f>
        <v/>
      </c>
      <c r="H55" s="4" t="str">
        <f>IFERROR(VLOOKUP($D55,'02 Status'!$A:$R,8,FALSE),"")</f>
        <v/>
      </c>
      <c r="I55" s="4" t="str">
        <f>IFERROR(VLOOKUP($D55,'02 Status'!$A:$R,9,FALSE),"")</f>
        <v/>
      </c>
      <c r="J55" s="4" t="str">
        <f>IFERROR(VLOOKUP($D55,'02 Status'!$A:$R,10,FALSE),"")</f>
        <v/>
      </c>
      <c r="K55" s="4" t="str">
        <f>IFERROR(VLOOKUP($D55,'02 Status'!$A:$R,11,FALSE),"")</f>
        <v/>
      </c>
      <c r="L55" s="4" t="str">
        <f>IFERROR(VLOOKUP($D55,'02 Status'!$A:$R,12,FALSE),"")</f>
        <v/>
      </c>
      <c r="M55" s="4" t="str">
        <f>IFERROR(VLOOKUP($D55,'02 Status'!$A:$R,13,FALSE),"")</f>
        <v/>
      </c>
      <c r="N55" s="4" t="str">
        <f>IFERROR(VLOOKUP($D55,'02 Status'!$A:$R,14,FALSE),"")</f>
        <v/>
      </c>
      <c r="O55" s="4" t="str">
        <f>IFERROR(VLOOKUP($D55,'02 Status'!$A:$R,16,FALSE),"")</f>
        <v/>
      </c>
      <c r="P55" s="6"/>
      <c r="Q55" s="4"/>
      <c r="R55" s="4">
        <f t="shared" si="8"/>
        <v>25</v>
      </c>
      <c r="S55" s="4"/>
      <c r="T55" s="4"/>
      <c r="U55" s="4"/>
      <c r="V55" s="4"/>
      <c r="W55" s="4"/>
      <c r="X55" s="4">
        <f t="shared" si="9"/>
        <v>0</v>
      </c>
      <c r="Y55" s="4" t="str">
        <f t="shared" si="10"/>
        <v>Crítica</v>
      </c>
      <c r="Z55" s="4">
        <f t="shared" si="11"/>
        <v>25</v>
      </c>
      <c r="AA55" s="4">
        <f t="shared" si="12"/>
        <v>100</v>
      </c>
      <c r="AB55" s="4">
        <f t="shared" si="13"/>
        <v>40</v>
      </c>
      <c r="AC55" s="4" t="str">
        <f t="shared" si="14"/>
        <v>Baixa</v>
      </c>
      <c r="AD55" s="4" t="str">
        <f t="shared" si="15"/>
        <v>Não</v>
      </c>
      <c r="AE55" s="4"/>
    </row>
    <row r="56" spans="1:31">
      <c r="A56" s="4"/>
      <c r="B56" s="4"/>
      <c r="C56" s="4"/>
      <c r="D56" s="4"/>
      <c r="E56" s="4" t="str">
        <f>IFERROR(VLOOKUP($D56,'02 Status'!$A:$R,4,FALSE),"")</f>
        <v/>
      </c>
      <c r="F56" s="4" t="str">
        <f>IFERROR(VLOOKUP($D56,'02 Status'!$A:$R,3,FALSE),"")</f>
        <v/>
      </c>
      <c r="G56" s="4" t="str">
        <f>IFERROR(VLOOKUP($D56,'02 Status'!$A:$R,7,FALSE),"")</f>
        <v/>
      </c>
      <c r="H56" s="4" t="str">
        <f>IFERROR(VLOOKUP($D56,'02 Status'!$A:$R,8,FALSE),"")</f>
        <v/>
      </c>
      <c r="I56" s="4" t="str">
        <f>IFERROR(VLOOKUP($D56,'02 Status'!$A:$R,9,FALSE),"")</f>
        <v/>
      </c>
      <c r="J56" s="4" t="str">
        <f>IFERROR(VLOOKUP($D56,'02 Status'!$A:$R,10,FALSE),"")</f>
        <v/>
      </c>
      <c r="K56" s="4" t="str">
        <f>IFERROR(VLOOKUP($D56,'02 Status'!$A:$R,11,FALSE),"")</f>
        <v/>
      </c>
      <c r="L56" s="4" t="str">
        <f>IFERROR(VLOOKUP($D56,'02 Status'!$A:$R,12,FALSE),"")</f>
        <v/>
      </c>
      <c r="M56" s="4" t="str">
        <f>IFERROR(VLOOKUP($D56,'02 Status'!$A:$R,13,FALSE),"")</f>
        <v/>
      </c>
      <c r="N56" s="4" t="str">
        <f>IFERROR(VLOOKUP($D56,'02 Status'!$A:$R,14,FALSE),"")</f>
        <v/>
      </c>
      <c r="O56" s="4" t="str">
        <f>IFERROR(VLOOKUP($D56,'02 Status'!$A:$R,16,FALSE),"")</f>
        <v/>
      </c>
      <c r="P56" s="6"/>
      <c r="Q56" s="4"/>
      <c r="R56" s="4">
        <f t="shared" si="8"/>
        <v>25</v>
      </c>
      <c r="S56" s="4"/>
      <c r="T56" s="4"/>
      <c r="U56" s="4"/>
      <c r="V56" s="4"/>
      <c r="W56" s="4"/>
      <c r="X56" s="4">
        <f t="shared" si="9"/>
        <v>0</v>
      </c>
      <c r="Y56" s="4" t="str">
        <f t="shared" si="10"/>
        <v>Crítica</v>
      </c>
      <c r="Z56" s="4">
        <f t="shared" si="11"/>
        <v>25</v>
      </c>
      <c r="AA56" s="4">
        <f t="shared" si="12"/>
        <v>100</v>
      </c>
      <c r="AB56" s="4">
        <f t="shared" si="13"/>
        <v>40</v>
      </c>
      <c r="AC56" s="4" t="str">
        <f t="shared" si="14"/>
        <v>Baixa</v>
      </c>
      <c r="AD56" s="4" t="str">
        <f t="shared" si="15"/>
        <v>Não</v>
      </c>
      <c r="AE56" s="4"/>
    </row>
    <row r="57" spans="1:31">
      <c r="A57" s="4"/>
      <c r="B57" s="4"/>
      <c r="C57" s="4"/>
      <c r="D57" s="4"/>
      <c r="E57" s="4" t="str">
        <f>IFERROR(VLOOKUP($D57,'02 Status'!$A:$R,4,FALSE),"")</f>
        <v/>
      </c>
      <c r="F57" s="4" t="str">
        <f>IFERROR(VLOOKUP($D57,'02 Status'!$A:$R,3,FALSE),"")</f>
        <v/>
      </c>
      <c r="G57" s="4" t="str">
        <f>IFERROR(VLOOKUP($D57,'02 Status'!$A:$R,7,FALSE),"")</f>
        <v/>
      </c>
      <c r="H57" s="4" t="str">
        <f>IFERROR(VLOOKUP($D57,'02 Status'!$A:$R,8,FALSE),"")</f>
        <v/>
      </c>
      <c r="I57" s="4" t="str">
        <f>IFERROR(VLOOKUP($D57,'02 Status'!$A:$R,9,FALSE),"")</f>
        <v/>
      </c>
      <c r="J57" s="4" t="str">
        <f>IFERROR(VLOOKUP($D57,'02 Status'!$A:$R,10,FALSE),"")</f>
        <v/>
      </c>
      <c r="K57" s="4" t="str">
        <f>IFERROR(VLOOKUP($D57,'02 Status'!$A:$R,11,FALSE),"")</f>
        <v/>
      </c>
      <c r="L57" s="4" t="str">
        <f>IFERROR(VLOOKUP($D57,'02 Status'!$A:$R,12,FALSE),"")</f>
        <v/>
      </c>
      <c r="M57" s="4" t="str">
        <f>IFERROR(VLOOKUP($D57,'02 Status'!$A:$R,13,FALSE),"")</f>
        <v/>
      </c>
      <c r="N57" s="4" t="str">
        <f>IFERROR(VLOOKUP($D57,'02 Status'!$A:$R,14,FALSE),"")</f>
        <v/>
      </c>
      <c r="O57" s="4" t="str">
        <f>IFERROR(VLOOKUP($D57,'02 Status'!$A:$R,16,FALSE),"")</f>
        <v/>
      </c>
      <c r="P57" s="6"/>
      <c r="Q57" s="4"/>
      <c r="R57" s="4">
        <f t="shared" si="8"/>
        <v>25</v>
      </c>
      <c r="S57" s="4"/>
      <c r="T57" s="4"/>
      <c r="U57" s="4"/>
      <c r="V57" s="4"/>
      <c r="W57" s="4"/>
      <c r="X57" s="4">
        <f t="shared" si="9"/>
        <v>0</v>
      </c>
      <c r="Y57" s="4" t="str">
        <f t="shared" si="10"/>
        <v>Crítica</v>
      </c>
      <c r="Z57" s="4">
        <f t="shared" si="11"/>
        <v>25</v>
      </c>
      <c r="AA57" s="4">
        <f t="shared" si="12"/>
        <v>100</v>
      </c>
      <c r="AB57" s="4">
        <f t="shared" si="13"/>
        <v>40</v>
      </c>
      <c r="AC57" s="4" t="str">
        <f t="shared" si="14"/>
        <v>Baixa</v>
      </c>
      <c r="AD57" s="4" t="str">
        <f t="shared" si="15"/>
        <v>Não</v>
      </c>
      <c r="AE57" s="4"/>
    </row>
    <row r="58" spans="1:31">
      <c r="A58" s="4"/>
      <c r="B58" s="4"/>
      <c r="C58" s="4"/>
      <c r="D58" s="4"/>
      <c r="E58" s="4" t="str">
        <f>IFERROR(VLOOKUP($D58,'02 Status'!$A:$R,4,FALSE),"")</f>
        <v/>
      </c>
      <c r="F58" s="4" t="str">
        <f>IFERROR(VLOOKUP($D58,'02 Status'!$A:$R,3,FALSE),"")</f>
        <v/>
      </c>
      <c r="G58" s="4" t="str">
        <f>IFERROR(VLOOKUP($D58,'02 Status'!$A:$R,7,FALSE),"")</f>
        <v/>
      </c>
      <c r="H58" s="4" t="str">
        <f>IFERROR(VLOOKUP($D58,'02 Status'!$A:$R,8,FALSE),"")</f>
        <v/>
      </c>
      <c r="I58" s="4" t="str">
        <f>IFERROR(VLOOKUP($D58,'02 Status'!$A:$R,9,FALSE),"")</f>
        <v/>
      </c>
      <c r="J58" s="4" t="str">
        <f>IFERROR(VLOOKUP($D58,'02 Status'!$A:$R,10,FALSE),"")</f>
        <v/>
      </c>
      <c r="K58" s="4" t="str">
        <f>IFERROR(VLOOKUP($D58,'02 Status'!$A:$R,11,FALSE),"")</f>
        <v/>
      </c>
      <c r="L58" s="4" t="str">
        <f>IFERROR(VLOOKUP($D58,'02 Status'!$A:$R,12,FALSE),"")</f>
        <v/>
      </c>
      <c r="M58" s="4" t="str">
        <f>IFERROR(VLOOKUP($D58,'02 Status'!$A:$R,13,FALSE),"")</f>
        <v/>
      </c>
      <c r="N58" s="4" t="str">
        <f>IFERROR(VLOOKUP($D58,'02 Status'!$A:$R,14,FALSE),"")</f>
        <v/>
      </c>
      <c r="O58" s="4" t="str">
        <f>IFERROR(VLOOKUP($D58,'02 Status'!$A:$R,16,FALSE),"")</f>
        <v/>
      </c>
      <c r="P58" s="6"/>
      <c r="Q58" s="4"/>
      <c r="R58" s="4">
        <f t="shared" si="8"/>
        <v>25</v>
      </c>
      <c r="S58" s="4"/>
      <c r="T58" s="4"/>
      <c r="U58" s="4"/>
      <c r="V58" s="4"/>
      <c r="W58" s="4"/>
      <c r="X58" s="4">
        <f t="shared" si="9"/>
        <v>0</v>
      </c>
      <c r="Y58" s="4" t="str">
        <f t="shared" si="10"/>
        <v>Crítica</v>
      </c>
      <c r="Z58" s="4">
        <f t="shared" si="11"/>
        <v>25</v>
      </c>
      <c r="AA58" s="4">
        <f t="shared" si="12"/>
        <v>100</v>
      </c>
      <c r="AB58" s="4">
        <f t="shared" si="13"/>
        <v>40</v>
      </c>
      <c r="AC58" s="4" t="str">
        <f t="shared" si="14"/>
        <v>Baixa</v>
      </c>
      <c r="AD58" s="4" t="str">
        <f t="shared" si="15"/>
        <v>Não</v>
      </c>
      <c r="AE58" s="4"/>
    </row>
    <row r="59" spans="1:31">
      <c r="A59" s="4"/>
      <c r="B59" s="4"/>
      <c r="C59" s="4"/>
      <c r="D59" s="4"/>
      <c r="E59" s="4" t="str">
        <f>IFERROR(VLOOKUP($D59,'02 Status'!$A:$R,4,FALSE),"")</f>
        <v/>
      </c>
      <c r="F59" s="4" t="str">
        <f>IFERROR(VLOOKUP($D59,'02 Status'!$A:$R,3,FALSE),"")</f>
        <v/>
      </c>
      <c r="G59" s="4" t="str">
        <f>IFERROR(VLOOKUP($D59,'02 Status'!$A:$R,7,FALSE),"")</f>
        <v/>
      </c>
      <c r="H59" s="4" t="str">
        <f>IFERROR(VLOOKUP($D59,'02 Status'!$A:$R,8,FALSE),"")</f>
        <v/>
      </c>
      <c r="I59" s="4" t="str">
        <f>IFERROR(VLOOKUP($D59,'02 Status'!$A:$R,9,FALSE),"")</f>
        <v/>
      </c>
      <c r="J59" s="4" t="str">
        <f>IFERROR(VLOOKUP($D59,'02 Status'!$A:$R,10,FALSE),"")</f>
        <v/>
      </c>
      <c r="K59" s="4" t="str">
        <f>IFERROR(VLOOKUP($D59,'02 Status'!$A:$R,11,FALSE),"")</f>
        <v/>
      </c>
      <c r="L59" s="4" t="str">
        <f>IFERROR(VLOOKUP($D59,'02 Status'!$A:$R,12,FALSE),"")</f>
        <v/>
      </c>
      <c r="M59" s="4" t="str">
        <f>IFERROR(VLOOKUP($D59,'02 Status'!$A:$R,13,FALSE),"")</f>
        <v/>
      </c>
      <c r="N59" s="4" t="str">
        <f>IFERROR(VLOOKUP($D59,'02 Status'!$A:$R,14,FALSE),"")</f>
        <v/>
      </c>
      <c r="O59" s="4" t="str">
        <f>IFERROR(VLOOKUP($D59,'02 Status'!$A:$R,16,FALSE),"")</f>
        <v/>
      </c>
      <c r="P59" s="6"/>
      <c r="Q59" s="4"/>
      <c r="R59" s="4">
        <f t="shared" si="8"/>
        <v>25</v>
      </c>
      <c r="S59" s="4"/>
      <c r="T59" s="4"/>
      <c r="U59" s="4"/>
      <c r="V59" s="4"/>
      <c r="W59" s="4"/>
      <c r="X59" s="4">
        <f t="shared" si="9"/>
        <v>0</v>
      </c>
      <c r="Y59" s="4" t="str">
        <f t="shared" si="10"/>
        <v>Crítica</v>
      </c>
      <c r="Z59" s="4">
        <f t="shared" si="11"/>
        <v>25</v>
      </c>
      <c r="AA59" s="4">
        <f t="shared" si="12"/>
        <v>100</v>
      </c>
      <c r="AB59" s="4">
        <f t="shared" si="13"/>
        <v>40</v>
      </c>
      <c r="AC59" s="4" t="str">
        <f t="shared" si="14"/>
        <v>Baixa</v>
      </c>
      <c r="AD59" s="4" t="str">
        <f t="shared" si="15"/>
        <v>Não</v>
      </c>
      <c r="AE59" s="4"/>
    </row>
    <row r="60" spans="1:31">
      <c r="A60" s="4"/>
      <c r="B60" s="4"/>
      <c r="C60" s="4"/>
      <c r="D60" s="4"/>
      <c r="E60" s="4" t="str">
        <f>IFERROR(VLOOKUP($D60,'02 Status'!$A:$R,4,FALSE),"")</f>
        <v/>
      </c>
      <c r="F60" s="4" t="str">
        <f>IFERROR(VLOOKUP($D60,'02 Status'!$A:$R,3,FALSE),"")</f>
        <v/>
      </c>
      <c r="G60" s="4" t="str">
        <f>IFERROR(VLOOKUP($D60,'02 Status'!$A:$R,7,FALSE),"")</f>
        <v/>
      </c>
      <c r="H60" s="4" t="str">
        <f>IFERROR(VLOOKUP($D60,'02 Status'!$A:$R,8,FALSE),"")</f>
        <v/>
      </c>
      <c r="I60" s="4" t="str">
        <f>IFERROR(VLOOKUP($D60,'02 Status'!$A:$R,9,FALSE),"")</f>
        <v/>
      </c>
      <c r="J60" s="4" t="str">
        <f>IFERROR(VLOOKUP($D60,'02 Status'!$A:$R,10,FALSE),"")</f>
        <v/>
      </c>
      <c r="K60" s="4" t="str">
        <f>IFERROR(VLOOKUP($D60,'02 Status'!$A:$R,11,FALSE),"")</f>
        <v/>
      </c>
      <c r="L60" s="4" t="str">
        <f>IFERROR(VLOOKUP($D60,'02 Status'!$A:$R,12,FALSE),"")</f>
        <v/>
      </c>
      <c r="M60" s="4" t="str">
        <f>IFERROR(VLOOKUP($D60,'02 Status'!$A:$R,13,FALSE),"")</f>
        <v/>
      </c>
      <c r="N60" s="4" t="str">
        <f>IFERROR(VLOOKUP($D60,'02 Status'!$A:$R,14,FALSE),"")</f>
        <v/>
      </c>
      <c r="O60" s="4" t="str">
        <f>IFERROR(VLOOKUP($D60,'02 Status'!$A:$R,16,FALSE),"")</f>
        <v/>
      </c>
      <c r="P60" s="6"/>
      <c r="Q60" s="4"/>
      <c r="R60" s="4">
        <f t="shared" si="8"/>
        <v>25</v>
      </c>
      <c r="S60" s="4"/>
      <c r="T60" s="4"/>
      <c r="U60" s="4"/>
      <c r="V60" s="4"/>
      <c r="W60" s="4"/>
      <c r="X60" s="4">
        <f t="shared" si="9"/>
        <v>0</v>
      </c>
      <c r="Y60" s="4" t="str">
        <f t="shared" si="10"/>
        <v>Crítica</v>
      </c>
      <c r="Z60" s="4">
        <f t="shared" si="11"/>
        <v>25</v>
      </c>
      <c r="AA60" s="4">
        <f t="shared" si="12"/>
        <v>100</v>
      </c>
      <c r="AB60" s="4">
        <f t="shared" si="13"/>
        <v>40</v>
      </c>
      <c r="AC60" s="4" t="str">
        <f t="shared" si="14"/>
        <v>Baixa</v>
      </c>
      <c r="AD60" s="4" t="str">
        <f t="shared" si="15"/>
        <v>Não</v>
      </c>
      <c r="AE60" s="4"/>
    </row>
    <row r="61" spans="1:31">
      <c r="A61" s="4"/>
      <c r="B61" s="4"/>
      <c r="C61" s="4"/>
      <c r="D61" s="4"/>
      <c r="E61" s="4" t="str">
        <f>IFERROR(VLOOKUP($D61,'02 Status'!$A:$R,4,FALSE),"")</f>
        <v/>
      </c>
      <c r="F61" s="4" t="str">
        <f>IFERROR(VLOOKUP($D61,'02 Status'!$A:$R,3,FALSE),"")</f>
        <v/>
      </c>
      <c r="G61" s="4" t="str">
        <f>IFERROR(VLOOKUP($D61,'02 Status'!$A:$R,7,FALSE),"")</f>
        <v/>
      </c>
      <c r="H61" s="4" t="str">
        <f>IFERROR(VLOOKUP($D61,'02 Status'!$A:$R,8,FALSE),"")</f>
        <v/>
      </c>
      <c r="I61" s="4" t="str">
        <f>IFERROR(VLOOKUP($D61,'02 Status'!$A:$R,9,FALSE),"")</f>
        <v/>
      </c>
      <c r="J61" s="4" t="str">
        <f>IFERROR(VLOOKUP($D61,'02 Status'!$A:$R,10,FALSE),"")</f>
        <v/>
      </c>
      <c r="K61" s="4" t="str">
        <f>IFERROR(VLOOKUP($D61,'02 Status'!$A:$R,11,FALSE),"")</f>
        <v/>
      </c>
      <c r="L61" s="4" t="str">
        <f>IFERROR(VLOOKUP($D61,'02 Status'!$A:$R,12,FALSE),"")</f>
        <v/>
      </c>
      <c r="M61" s="4" t="str">
        <f>IFERROR(VLOOKUP($D61,'02 Status'!$A:$R,13,FALSE),"")</f>
        <v/>
      </c>
      <c r="N61" s="4" t="str">
        <f>IFERROR(VLOOKUP($D61,'02 Status'!$A:$R,14,FALSE),"")</f>
        <v/>
      </c>
      <c r="O61" s="4" t="str">
        <f>IFERROR(VLOOKUP($D61,'02 Status'!$A:$R,16,FALSE),"")</f>
        <v/>
      </c>
      <c r="P61" s="6"/>
      <c r="Q61" s="4"/>
      <c r="R61" s="4">
        <f t="shared" si="8"/>
        <v>25</v>
      </c>
      <c r="S61" s="4"/>
      <c r="T61" s="4"/>
      <c r="U61" s="4"/>
      <c r="V61" s="4"/>
      <c r="W61" s="4"/>
      <c r="X61" s="4">
        <f t="shared" si="9"/>
        <v>0</v>
      </c>
      <c r="Y61" s="4" t="str">
        <f t="shared" si="10"/>
        <v>Crítica</v>
      </c>
      <c r="Z61" s="4">
        <f t="shared" si="11"/>
        <v>25</v>
      </c>
      <c r="AA61" s="4">
        <f t="shared" si="12"/>
        <v>100</v>
      </c>
      <c r="AB61" s="4">
        <f t="shared" si="13"/>
        <v>40</v>
      </c>
      <c r="AC61" s="4" t="str">
        <f t="shared" si="14"/>
        <v>Baixa</v>
      </c>
      <c r="AD61" s="4" t="str">
        <f t="shared" si="15"/>
        <v>Não</v>
      </c>
      <c r="AE61" s="4"/>
    </row>
    <row r="62" spans="1:31">
      <c r="A62" s="4"/>
      <c r="B62" s="4"/>
      <c r="C62" s="4"/>
      <c r="D62" s="4"/>
      <c r="E62" s="4" t="str">
        <f>IFERROR(VLOOKUP($D62,'02 Status'!$A:$R,4,FALSE),"")</f>
        <v/>
      </c>
      <c r="F62" s="4" t="str">
        <f>IFERROR(VLOOKUP($D62,'02 Status'!$A:$R,3,FALSE),"")</f>
        <v/>
      </c>
      <c r="G62" s="4" t="str">
        <f>IFERROR(VLOOKUP($D62,'02 Status'!$A:$R,7,FALSE),"")</f>
        <v/>
      </c>
      <c r="H62" s="4" t="str">
        <f>IFERROR(VLOOKUP($D62,'02 Status'!$A:$R,8,FALSE),"")</f>
        <v/>
      </c>
      <c r="I62" s="4" t="str">
        <f>IFERROR(VLOOKUP($D62,'02 Status'!$A:$R,9,FALSE),"")</f>
        <v/>
      </c>
      <c r="J62" s="4" t="str">
        <f>IFERROR(VLOOKUP($D62,'02 Status'!$A:$R,10,FALSE),"")</f>
        <v/>
      </c>
      <c r="K62" s="4" t="str">
        <f>IFERROR(VLOOKUP($D62,'02 Status'!$A:$R,11,FALSE),"")</f>
        <v/>
      </c>
      <c r="L62" s="4" t="str">
        <f>IFERROR(VLOOKUP($D62,'02 Status'!$A:$R,12,FALSE),"")</f>
        <v/>
      </c>
      <c r="M62" s="4" t="str">
        <f>IFERROR(VLOOKUP($D62,'02 Status'!$A:$R,13,FALSE),"")</f>
        <v/>
      </c>
      <c r="N62" s="4" t="str">
        <f>IFERROR(VLOOKUP($D62,'02 Status'!$A:$R,14,FALSE),"")</f>
        <v/>
      </c>
      <c r="O62" s="4" t="str">
        <f>IFERROR(VLOOKUP($D62,'02 Status'!$A:$R,16,FALSE),"")</f>
        <v/>
      </c>
      <c r="P62" s="6"/>
      <c r="Q62" s="4"/>
      <c r="R62" s="4">
        <f t="shared" si="8"/>
        <v>25</v>
      </c>
      <c r="S62" s="4"/>
      <c r="T62" s="4"/>
      <c r="U62" s="4"/>
      <c r="V62" s="4"/>
      <c r="W62" s="4"/>
      <c r="X62" s="4">
        <f t="shared" si="9"/>
        <v>0</v>
      </c>
      <c r="Y62" s="4" t="str">
        <f t="shared" si="10"/>
        <v>Crítica</v>
      </c>
      <c r="Z62" s="4">
        <f t="shared" si="11"/>
        <v>25</v>
      </c>
      <c r="AA62" s="4">
        <f t="shared" si="12"/>
        <v>100</v>
      </c>
      <c r="AB62" s="4">
        <f t="shared" si="13"/>
        <v>40</v>
      </c>
      <c r="AC62" s="4" t="str">
        <f t="shared" si="14"/>
        <v>Baixa</v>
      </c>
      <c r="AD62" s="4" t="str">
        <f t="shared" si="15"/>
        <v>Não</v>
      </c>
      <c r="AE62" s="4"/>
    </row>
    <row r="63" spans="1:31">
      <c r="A63" s="4"/>
      <c r="B63" s="4"/>
      <c r="C63" s="4"/>
      <c r="D63" s="4"/>
      <c r="E63" s="4" t="str">
        <f>IFERROR(VLOOKUP($D63,'02 Status'!$A:$R,4,FALSE),"")</f>
        <v/>
      </c>
      <c r="F63" s="4" t="str">
        <f>IFERROR(VLOOKUP($D63,'02 Status'!$A:$R,3,FALSE),"")</f>
        <v/>
      </c>
      <c r="G63" s="4" t="str">
        <f>IFERROR(VLOOKUP($D63,'02 Status'!$A:$R,7,FALSE),"")</f>
        <v/>
      </c>
      <c r="H63" s="4" t="str">
        <f>IFERROR(VLOOKUP($D63,'02 Status'!$A:$R,8,FALSE),"")</f>
        <v/>
      </c>
      <c r="I63" s="4" t="str">
        <f>IFERROR(VLOOKUP($D63,'02 Status'!$A:$R,9,FALSE),"")</f>
        <v/>
      </c>
      <c r="J63" s="4" t="str">
        <f>IFERROR(VLOOKUP($D63,'02 Status'!$A:$R,10,FALSE),"")</f>
        <v/>
      </c>
      <c r="K63" s="4" t="str">
        <f>IFERROR(VLOOKUP($D63,'02 Status'!$A:$R,11,FALSE),"")</f>
        <v/>
      </c>
      <c r="L63" s="4" t="str">
        <f>IFERROR(VLOOKUP($D63,'02 Status'!$A:$R,12,FALSE),"")</f>
        <v/>
      </c>
      <c r="M63" s="4" t="str">
        <f>IFERROR(VLOOKUP($D63,'02 Status'!$A:$R,13,FALSE),"")</f>
        <v/>
      </c>
      <c r="N63" s="4" t="str">
        <f>IFERROR(VLOOKUP($D63,'02 Status'!$A:$R,14,FALSE),"")</f>
        <v/>
      </c>
      <c r="O63" s="4" t="str">
        <f>IFERROR(VLOOKUP($D63,'02 Status'!$A:$R,16,FALSE),"")</f>
        <v/>
      </c>
      <c r="P63" s="6"/>
      <c r="Q63" s="4"/>
      <c r="R63" s="4">
        <f t="shared" si="8"/>
        <v>25</v>
      </c>
      <c r="S63" s="4"/>
      <c r="T63" s="4"/>
      <c r="U63" s="4"/>
      <c r="V63" s="4"/>
      <c r="W63" s="4"/>
      <c r="X63" s="4">
        <f t="shared" si="9"/>
        <v>0</v>
      </c>
      <c r="Y63" s="4" t="str">
        <f t="shared" si="10"/>
        <v>Crítica</v>
      </c>
      <c r="Z63" s="4">
        <f t="shared" si="11"/>
        <v>25</v>
      </c>
      <c r="AA63" s="4">
        <f t="shared" si="12"/>
        <v>100</v>
      </c>
      <c r="AB63" s="4">
        <f t="shared" si="13"/>
        <v>40</v>
      </c>
      <c r="AC63" s="4" t="str">
        <f t="shared" si="14"/>
        <v>Baixa</v>
      </c>
      <c r="AD63" s="4" t="str">
        <f t="shared" si="15"/>
        <v>Não</v>
      </c>
      <c r="AE63" s="4"/>
    </row>
    <row r="64" spans="1:31">
      <c r="A64" s="4"/>
      <c r="B64" s="4"/>
      <c r="C64" s="4"/>
      <c r="D64" s="4"/>
      <c r="E64" s="4" t="str">
        <f>IFERROR(VLOOKUP($D64,'02 Status'!$A:$R,4,FALSE),"")</f>
        <v/>
      </c>
      <c r="F64" s="4" t="str">
        <f>IFERROR(VLOOKUP($D64,'02 Status'!$A:$R,3,FALSE),"")</f>
        <v/>
      </c>
      <c r="G64" s="4" t="str">
        <f>IFERROR(VLOOKUP($D64,'02 Status'!$A:$R,7,FALSE),"")</f>
        <v/>
      </c>
      <c r="H64" s="4" t="str">
        <f>IFERROR(VLOOKUP($D64,'02 Status'!$A:$R,8,FALSE),"")</f>
        <v/>
      </c>
      <c r="I64" s="4" t="str">
        <f>IFERROR(VLOOKUP($D64,'02 Status'!$A:$R,9,FALSE),"")</f>
        <v/>
      </c>
      <c r="J64" s="4" t="str">
        <f>IFERROR(VLOOKUP($D64,'02 Status'!$A:$R,10,FALSE),"")</f>
        <v/>
      </c>
      <c r="K64" s="4" t="str">
        <f>IFERROR(VLOOKUP($D64,'02 Status'!$A:$R,11,FALSE),"")</f>
        <v/>
      </c>
      <c r="L64" s="4" t="str">
        <f>IFERROR(VLOOKUP($D64,'02 Status'!$A:$R,12,FALSE),"")</f>
        <v/>
      </c>
      <c r="M64" s="4" t="str">
        <f>IFERROR(VLOOKUP($D64,'02 Status'!$A:$R,13,FALSE),"")</f>
        <v/>
      </c>
      <c r="N64" s="4" t="str">
        <f>IFERROR(VLOOKUP($D64,'02 Status'!$A:$R,14,FALSE),"")</f>
        <v/>
      </c>
      <c r="O64" s="4" t="str">
        <f>IFERROR(VLOOKUP($D64,'02 Status'!$A:$R,16,FALSE),"")</f>
        <v/>
      </c>
      <c r="P64" s="6"/>
      <c r="Q64" s="4"/>
      <c r="R64" s="4">
        <f t="shared" si="8"/>
        <v>25</v>
      </c>
      <c r="S64" s="4"/>
      <c r="T64" s="4"/>
      <c r="U64" s="4"/>
      <c r="V64" s="4"/>
      <c r="W64" s="4"/>
      <c r="X64" s="4">
        <f t="shared" si="9"/>
        <v>0</v>
      </c>
      <c r="Y64" s="4" t="str">
        <f t="shared" si="10"/>
        <v>Crítica</v>
      </c>
      <c r="Z64" s="4">
        <f t="shared" si="11"/>
        <v>25</v>
      </c>
      <c r="AA64" s="4">
        <f t="shared" si="12"/>
        <v>100</v>
      </c>
      <c r="AB64" s="4">
        <f t="shared" si="13"/>
        <v>40</v>
      </c>
      <c r="AC64" s="4" t="str">
        <f t="shared" si="14"/>
        <v>Baixa</v>
      </c>
      <c r="AD64" s="4" t="str">
        <f t="shared" si="15"/>
        <v>Não</v>
      </c>
      <c r="AE64" s="4"/>
    </row>
    <row r="65" spans="1:31">
      <c r="A65" s="4"/>
      <c r="B65" s="4"/>
      <c r="C65" s="4"/>
      <c r="D65" s="4"/>
      <c r="E65" s="4" t="str">
        <f>IFERROR(VLOOKUP($D65,'02 Status'!$A:$R,4,FALSE),"")</f>
        <v/>
      </c>
      <c r="F65" s="4" t="str">
        <f>IFERROR(VLOOKUP($D65,'02 Status'!$A:$R,3,FALSE),"")</f>
        <v/>
      </c>
      <c r="G65" s="4" t="str">
        <f>IFERROR(VLOOKUP($D65,'02 Status'!$A:$R,7,FALSE),"")</f>
        <v/>
      </c>
      <c r="H65" s="4" t="str">
        <f>IFERROR(VLOOKUP($D65,'02 Status'!$A:$R,8,FALSE),"")</f>
        <v/>
      </c>
      <c r="I65" s="4" t="str">
        <f>IFERROR(VLOOKUP($D65,'02 Status'!$A:$R,9,FALSE),"")</f>
        <v/>
      </c>
      <c r="J65" s="4" t="str">
        <f>IFERROR(VLOOKUP($D65,'02 Status'!$A:$R,10,FALSE),"")</f>
        <v/>
      </c>
      <c r="K65" s="4" t="str">
        <f>IFERROR(VLOOKUP($D65,'02 Status'!$A:$R,11,FALSE),"")</f>
        <v/>
      </c>
      <c r="L65" s="4" t="str">
        <f>IFERROR(VLOOKUP($D65,'02 Status'!$A:$R,12,FALSE),"")</f>
        <v/>
      </c>
      <c r="M65" s="4" t="str">
        <f>IFERROR(VLOOKUP($D65,'02 Status'!$A:$R,13,FALSE),"")</f>
        <v/>
      </c>
      <c r="N65" s="4" t="str">
        <f>IFERROR(VLOOKUP($D65,'02 Status'!$A:$R,14,FALSE),"")</f>
        <v/>
      </c>
      <c r="O65" s="4" t="str">
        <f>IFERROR(VLOOKUP($D65,'02 Status'!$A:$R,16,FALSE),"")</f>
        <v/>
      </c>
      <c r="P65" s="6"/>
      <c r="Q65" s="4"/>
      <c r="R65" s="4">
        <f t="shared" si="8"/>
        <v>25</v>
      </c>
      <c r="S65" s="4"/>
      <c r="T65" s="4"/>
      <c r="U65" s="4"/>
      <c r="V65" s="4"/>
      <c r="W65" s="4"/>
      <c r="X65" s="4">
        <f t="shared" si="9"/>
        <v>0</v>
      </c>
      <c r="Y65" s="4" t="str">
        <f t="shared" si="10"/>
        <v>Crítica</v>
      </c>
      <c r="Z65" s="4">
        <f t="shared" si="11"/>
        <v>25</v>
      </c>
      <c r="AA65" s="4">
        <f t="shared" si="12"/>
        <v>100</v>
      </c>
      <c r="AB65" s="4">
        <f t="shared" si="13"/>
        <v>40</v>
      </c>
      <c r="AC65" s="4" t="str">
        <f t="shared" si="14"/>
        <v>Baixa</v>
      </c>
      <c r="AD65" s="4" t="str">
        <f t="shared" si="15"/>
        <v>Não</v>
      </c>
      <c r="AE65" s="4"/>
    </row>
    <row r="66" spans="1:31">
      <c r="A66" s="4"/>
      <c r="B66" s="4"/>
      <c r="C66" s="4"/>
      <c r="D66" s="4"/>
      <c r="E66" s="4" t="str">
        <f>IFERROR(VLOOKUP($D66,'02 Status'!$A:$R,4,FALSE),"")</f>
        <v/>
      </c>
      <c r="F66" s="4" t="str">
        <f>IFERROR(VLOOKUP($D66,'02 Status'!$A:$R,3,FALSE),"")</f>
        <v/>
      </c>
      <c r="G66" s="4" t="str">
        <f>IFERROR(VLOOKUP($D66,'02 Status'!$A:$R,7,FALSE),"")</f>
        <v/>
      </c>
      <c r="H66" s="4" t="str">
        <f>IFERROR(VLOOKUP($D66,'02 Status'!$A:$R,8,FALSE),"")</f>
        <v/>
      </c>
      <c r="I66" s="4" t="str">
        <f>IFERROR(VLOOKUP($D66,'02 Status'!$A:$R,9,FALSE),"")</f>
        <v/>
      </c>
      <c r="J66" s="4" t="str">
        <f>IFERROR(VLOOKUP($D66,'02 Status'!$A:$R,10,FALSE),"")</f>
        <v/>
      </c>
      <c r="K66" s="4" t="str">
        <f>IFERROR(VLOOKUP($D66,'02 Status'!$A:$R,11,FALSE),"")</f>
        <v/>
      </c>
      <c r="L66" s="4" t="str">
        <f>IFERROR(VLOOKUP($D66,'02 Status'!$A:$R,12,FALSE),"")</f>
        <v/>
      </c>
      <c r="M66" s="4" t="str">
        <f>IFERROR(VLOOKUP($D66,'02 Status'!$A:$R,13,FALSE),"")</f>
        <v/>
      </c>
      <c r="N66" s="4" t="str">
        <f>IFERROR(VLOOKUP($D66,'02 Status'!$A:$R,14,FALSE),"")</f>
        <v/>
      </c>
      <c r="O66" s="4" t="str">
        <f>IFERROR(VLOOKUP($D66,'02 Status'!$A:$R,16,FALSE),"")</f>
        <v/>
      </c>
      <c r="P66" s="6"/>
      <c r="Q66" s="4"/>
      <c r="R66" s="4">
        <f t="shared" si="8"/>
        <v>25</v>
      </c>
      <c r="S66" s="4"/>
      <c r="T66" s="4"/>
      <c r="U66" s="4"/>
      <c r="V66" s="4"/>
      <c r="W66" s="4"/>
      <c r="X66" s="4">
        <f t="shared" si="9"/>
        <v>0</v>
      </c>
      <c r="Y66" s="4" t="str">
        <f t="shared" si="10"/>
        <v>Crítica</v>
      </c>
      <c r="Z66" s="4">
        <f t="shared" si="11"/>
        <v>25</v>
      </c>
      <c r="AA66" s="4">
        <f t="shared" si="12"/>
        <v>100</v>
      </c>
      <c r="AB66" s="4">
        <f t="shared" si="13"/>
        <v>40</v>
      </c>
      <c r="AC66" s="4" t="str">
        <f t="shared" si="14"/>
        <v>Baixa</v>
      </c>
      <c r="AD66" s="4" t="str">
        <f t="shared" si="15"/>
        <v>Não</v>
      </c>
      <c r="AE66" s="4"/>
    </row>
    <row r="67" spans="1:31">
      <c r="A67" s="4"/>
      <c r="B67" s="4"/>
      <c r="C67" s="4"/>
      <c r="D67" s="4"/>
      <c r="E67" s="4" t="str">
        <f>IFERROR(VLOOKUP($D67,'02 Status'!$A:$R,4,FALSE),"")</f>
        <v/>
      </c>
      <c r="F67" s="4" t="str">
        <f>IFERROR(VLOOKUP($D67,'02 Status'!$A:$R,3,FALSE),"")</f>
        <v/>
      </c>
      <c r="G67" s="4" t="str">
        <f>IFERROR(VLOOKUP($D67,'02 Status'!$A:$R,7,FALSE),"")</f>
        <v/>
      </c>
      <c r="H67" s="4" t="str">
        <f>IFERROR(VLOOKUP($D67,'02 Status'!$A:$R,8,FALSE),"")</f>
        <v/>
      </c>
      <c r="I67" s="4" t="str">
        <f>IFERROR(VLOOKUP($D67,'02 Status'!$A:$R,9,FALSE),"")</f>
        <v/>
      </c>
      <c r="J67" s="4" t="str">
        <f>IFERROR(VLOOKUP($D67,'02 Status'!$A:$R,10,FALSE),"")</f>
        <v/>
      </c>
      <c r="K67" s="4" t="str">
        <f>IFERROR(VLOOKUP($D67,'02 Status'!$A:$R,11,FALSE),"")</f>
        <v/>
      </c>
      <c r="L67" s="4" t="str">
        <f>IFERROR(VLOOKUP($D67,'02 Status'!$A:$R,12,FALSE),"")</f>
        <v/>
      </c>
      <c r="M67" s="4" t="str">
        <f>IFERROR(VLOOKUP($D67,'02 Status'!$A:$R,13,FALSE),"")</f>
        <v/>
      </c>
      <c r="N67" s="4" t="str">
        <f>IFERROR(VLOOKUP($D67,'02 Status'!$A:$R,14,FALSE),"")</f>
        <v/>
      </c>
      <c r="O67" s="4" t="str">
        <f>IFERROR(VLOOKUP($D67,'02 Status'!$A:$R,16,FALSE),"")</f>
        <v/>
      </c>
      <c r="P67" s="6"/>
      <c r="Q67" s="4"/>
      <c r="R67" s="4">
        <f t="shared" si="8"/>
        <v>25</v>
      </c>
      <c r="S67" s="4"/>
      <c r="T67" s="4"/>
      <c r="U67" s="4"/>
      <c r="V67" s="4"/>
      <c r="W67" s="4"/>
      <c r="X67" s="4">
        <f t="shared" si="9"/>
        <v>0</v>
      </c>
      <c r="Y67" s="4" t="str">
        <f t="shared" si="10"/>
        <v>Crítica</v>
      </c>
      <c r="Z67" s="4">
        <f t="shared" si="11"/>
        <v>25</v>
      </c>
      <c r="AA67" s="4">
        <f t="shared" si="12"/>
        <v>100</v>
      </c>
      <c r="AB67" s="4">
        <f t="shared" si="13"/>
        <v>40</v>
      </c>
      <c r="AC67" s="4" t="str">
        <f t="shared" si="14"/>
        <v>Baixa</v>
      </c>
      <c r="AD67" s="4" t="str">
        <f t="shared" si="15"/>
        <v>Não</v>
      </c>
      <c r="AE67" s="4"/>
    </row>
    <row r="68" spans="1:31">
      <c r="A68" s="4"/>
      <c r="B68" s="4"/>
      <c r="C68" s="4"/>
      <c r="D68" s="4"/>
      <c r="E68" s="4" t="str">
        <f>IFERROR(VLOOKUP($D68,'02 Status'!$A:$R,4,FALSE),"")</f>
        <v/>
      </c>
      <c r="F68" s="4" t="str">
        <f>IFERROR(VLOOKUP($D68,'02 Status'!$A:$R,3,FALSE),"")</f>
        <v/>
      </c>
      <c r="G68" s="4" t="str">
        <f>IFERROR(VLOOKUP($D68,'02 Status'!$A:$R,7,FALSE),"")</f>
        <v/>
      </c>
      <c r="H68" s="4" t="str">
        <f>IFERROR(VLOOKUP($D68,'02 Status'!$A:$R,8,FALSE),"")</f>
        <v/>
      </c>
      <c r="I68" s="4" t="str">
        <f>IFERROR(VLOOKUP($D68,'02 Status'!$A:$R,9,FALSE),"")</f>
        <v/>
      </c>
      <c r="J68" s="4" t="str">
        <f>IFERROR(VLOOKUP($D68,'02 Status'!$A:$R,10,FALSE),"")</f>
        <v/>
      </c>
      <c r="K68" s="4" t="str">
        <f>IFERROR(VLOOKUP($D68,'02 Status'!$A:$R,11,FALSE),"")</f>
        <v/>
      </c>
      <c r="L68" s="4" t="str">
        <f>IFERROR(VLOOKUP($D68,'02 Status'!$A:$R,12,FALSE),"")</f>
        <v/>
      </c>
      <c r="M68" s="4" t="str">
        <f>IFERROR(VLOOKUP($D68,'02 Status'!$A:$R,13,FALSE),"")</f>
        <v/>
      </c>
      <c r="N68" s="4" t="str">
        <f>IFERROR(VLOOKUP($D68,'02 Status'!$A:$R,14,FALSE),"")</f>
        <v/>
      </c>
      <c r="O68" s="4" t="str">
        <f>IFERROR(VLOOKUP($D68,'02 Status'!$A:$R,16,FALSE),"")</f>
        <v/>
      </c>
      <c r="P68" s="6"/>
      <c r="Q68" s="4"/>
      <c r="R68" s="4">
        <f t="shared" si="8"/>
        <v>25</v>
      </c>
      <c r="S68" s="4"/>
      <c r="T68" s="4"/>
      <c r="U68" s="4"/>
      <c r="V68" s="4"/>
      <c r="W68" s="4"/>
      <c r="X68" s="4">
        <f t="shared" si="9"/>
        <v>0</v>
      </c>
      <c r="Y68" s="4" t="str">
        <f t="shared" si="10"/>
        <v>Crítica</v>
      </c>
      <c r="Z68" s="4">
        <f t="shared" si="11"/>
        <v>25</v>
      </c>
      <c r="AA68" s="4">
        <f t="shared" si="12"/>
        <v>100</v>
      </c>
      <c r="AB68" s="4">
        <f t="shared" si="13"/>
        <v>40</v>
      </c>
      <c r="AC68" s="4" t="str">
        <f t="shared" si="14"/>
        <v>Baixa</v>
      </c>
      <c r="AD68" s="4" t="str">
        <f t="shared" si="15"/>
        <v>Não</v>
      </c>
      <c r="AE68" s="4"/>
    </row>
    <row r="69" spans="1:31">
      <c r="A69" s="4"/>
      <c r="B69" s="4"/>
      <c r="C69" s="4"/>
      <c r="D69" s="4"/>
      <c r="E69" s="4" t="str">
        <f>IFERROR(VLOOKUP($D69,'02 Status'!$A:$R,4,FALSE),"")</f>
        <v/>
      </c>
      <c r="F69" s="4" t="str">
        <f>IFERROR(VLOOKUP($D69,'02 Status'!$A:$R,3,FALSE),"")</f>
        <v/>
      </c>
      <c r="G69" s="4" t="str">
        <f>IFERROR(VLOOKUP($D69,'02 Status'!$A:$R,7,FALSE),"")</f>
        <v/>
      </c>
      <c r="H69" s="4" t="str">
        <f>IFERROR(VLOOKUP($D69,'02 Status'!$A:$R,8,FALSE),"")</f>
        <v/>
      </c>
      <c r="I69" s="4" t="str">
        <f>IFERROR(VLOOKUP($D69,'02 Status'!$A:$R,9,FALSE),"")</f>
        <v/>
      </c>
      <c r="J69" s="4" t="str">
        <f>IFERROR(VLOOKUP($D69,'02 Status'!$A:$R,10,FALSE),"")</f>
        <v/>
      </c>
      <c r="K69" s="4" t="str">
        <f>IFERROR(VLOOKUP($D69,'02 Status'!$A:$R,11,FALSE),"")</f>
        <v/>
      </c>
      <c r="L69" s="4" t="str">
        <f>IFERROR(VLOOKUP($D69,'02 Status'!$A:$R,12,FALSE),"")</f>
        <v/>
      </c>
      <c r="M69" s="4" t="str">
        <f>IFERROR(VLOOKUP($D69,'02 Status'!$A:$R,13,FALSE),"")</f>
        <v/>
      </c>
      <c r="N69" s="4" t="str">
        <f>IFERROR(VLOOKUP($D69,'02 Status'!$A:$R,14,FALSE),"")</f>
        <v/>
      </c>
      <c r="O69" s="4" t="str">
        <f>IFERROR(VLOOKUP($D69,'02 Status'!$A:$R,16,FALSE),"")</f>
        <v/>
      </c>
      <c r="P69" s="6"/>
      <c r="Q69" s="4"/>
      <c r="R69" s="4">
        <f t="shared" ref="R69:R100" si="16">IF(Q69="Cliente respondeu e aguarda vendedor",100,IF(Q69="Ação vencida",95,IF(Q69="Ação hoje",90,IF(Q69="Ação amanhã",75,IF(Q69="Até 3 dias",55,25)))))</f>
        <v>25</v>
      </c>
      <c r="S69" s="4"/>
      <c r="T69" s="4"/>
      <c r="U69" s="4"/>
      <c r="V69" s="4"/>
      <c r="W69" s="4"/>
      <c r="X69" s="4">
        <f t="shared" ref="X69:X100" si="17">SUM(S69:W69)</f>
        <v>0</v>
      </c>
      <c r="Y69" s="4" t="str">
        <f t="shared" ref="Y69:Y100" si="18">IF(X69&gt;=90,"Excelente",IF(X69&gt;=75,"Boa",IF(X69&gt;=50,"Atenção","Crítica")))</f>
        <v>Crítica</v>
      </c>
      <c r="Z69" s="4">
        <f t="shared" ref="Z69:Z104" si="19">IF(M69="Muito alto",100,IF(M69="Alto",75,IF(M69="Médio",50,25)))</f>
        <v>25</v>
      </c>
      <c r="AA69" s="4">
        <f t="shared" ref="AA69:AA104" si="20">100-X69</f>
        <v>100</v>
      </c>
      <c r="AB69" s="4">
        <f t="shared" ref="AB69:AB100" si="21">ROUND(0.45*R69+0.35*Z69+0.2*AA69,0)</f>
        <v>40</v>
      </c>
      <c r="AC69" s="4" t="str">
        <f t="shared" ref="AC69:AC100" si="22">IF(AB69&gt;=85,"Máxima",IF(AB69&gt;=70,"Alta",IF(AB69&gt;=50,"Média","Baixa")))</f>
        <v>Baixa</v>
      </c>
      <c r="AD69" s="4" t="str">
        <f t="shared" ref="AD69:AD104" si="23">IF(OR(Q69="Cliente respondeu e aguarda vendedor",Q69="Ação vencida",Q69="Ação hoje"),"Sim","Não")</f>
        <v>Não</v>
      </c>
      <c r="AE69" s="4"/>
    </row>
    <row r="70" spans="1:31">
      <c r="A70" s="4"/>
      <c r="B70" s="4"/>
      <c r="C70" s="4"/>
      <c r="D70" s="4"/>
      <c r="E70" s="4" t="str">
        <f>IFERROR(VLOOKUP($D70,'02 Status'!$A:$R,4,FALSE),"")</f>
        <v/>
      </c>
      <c r="F70" s="4" t="str">
        <f>IFERROR(VLOOKUP($D70,'02 Status'!$A:$R,3,FALSE),"")</f>
        <v/>
      </c>
      <c r="G70" s="4" t="str">
        <f>IFERROR(VLOOKUP($D70,'02 Status'!$A:$R,7,FALSE),"")</f>
        <v/>
      </c>
      <c r="H70" s="4" t="str">
        <f>IFERROR(VLOOKUP($D70,'02 Status'!$A:$R,8,FALSE),"")</f>
        <v/>
      </c>
      <c r="I70" s="4" t="str">
        <f>IFERROR(VLOOKUP($D70,'02 Status'!$A:$R,9,FALSE),"")</f>
        <v/>
      </c>
      <c r="J70" s="4" t="str">
        <f>IFERROR(VLOOKUP($D70,'02 Status'!$A:$R,10,FALSE),"")</f>
        <v/>
      </c>
      <c r="K70" s="4" t="str">
        <f>IFERROR(VLOOKUP($D70,'02 Status'!$A:$R,11,FALSE),"")</f>
        <v/>
      </c>
      <c r="L70" s="4" t="str">
        <f>IFERROR(VLOOKUP($D70,'02 Status'!$A:$R,12,FALSE),"")</f>
        <v/>
      </c>
      <c r="M70" s="4" t="str">
        <f>IFERROR(VLOOKUP($D70,'02 Status'!$A:$R,13,FALSE),"")</f>
        <v/>
      </c>
      <c r="N70" s="4" t="str">
        <f>IFERROR(VLOOKUP($D70,'02 Status'!$A:$R,14,FALSE),"")</f>
        <v/>
      </c>
      <c r="O70" s="4" t="str">
        <f>IFERROR(VLOOKUP($D70,'02 Status'!$A:$R,16,FALSE),"")</f>
        <v/>
      </c>
      <c r="P70" s="6"/>
      <c r="Q70" s="4"/>
      <c r="R70" s="4">
        <f t="shared" si="16"/>
        <v>25</v>
      </c>
      <c r="S70" s="4"/>
      <c r="T70" s="4"/>
      <c r="U70" s="4"/>
      <c r="V70" s="4"/>
      <c r="W70" s="4"/>
      <c r="X70" s="4">
        <f t="shared" si="17"/>
        <v>0</v>
      </c>
      <c r="Y70" s="4" t="str">
        <f t="shared" si="18"/>
        <v>Crítica</v>
      </c>
      <c r="Z70" s="4">
        <f t="shared" si="19"/>
        <v>25</v>
      </c>
      <c r="AA70" s="4">
        <f t="shared" si="20"/>
        <v>100</v>
      </c>
      <c r="AB70" s="4">
        <f t="shared" si="21"/>
        <v>40</v>
      </c>
      <c r="AC70" s="4" t="str">
        <f t="shared" si="22"/>
        <v>Baixa</v>
      </c>
      <c r="AD70" s="4" t="str">
        <f t="shared" si="23"/>
        <v>Não</v>
      </c>
      <c r="AE70" s="4"/>
    </row>
    <row r="71" spans="1:31">
      <c r="A71" s="4"/>
      <c r="B71" s="4"/>
      <c r="C71" s="4"/>
      <c r="D71" s="4"/>
      <c r="E71" s="4" t="str">
        <f>IFERROR(VLOOKUP($D71,'02 Status'!$A:$R,4,FALSE),"")</f>
        <v/>
      </c>
      <c r="F71" s="4" t="str">
        <f>IFERROR(VLOOKUP($D71,'02 Status'!$A:$R,3,FALSE),"")</f>
        <v/>
      </c>
      <c r="G71" s="4" t="str">
        <f>IFERROR(VLOOKUP($D71,'02 Status'!$A:$R,7,FALSE),"")</f>
        <v/>
      </c>
      <c r="H71" s="4" t="str">
        <f>IFERROR(VLOOKUP($D71,'02 Status'!$A:$R,8,FALSE),"")</f>
        <v/>
      </c>
      <c r="I71" s="4" t="str">
        <f>IFERROR(VLOOKUP($D71,'02 Status'!$A:$R,9,FALSE),"")</f>
        <v/>
      </c>
      <c r="J71" s="4" t="str">
        <f>IFERROR(VLOOKUP($D71,'02 Status'!$A:$R,10,FALSE),"")</f>
        <v/>
      </c>
      <c r="K71" s="4" t="str">
        <f>IFERROR(VLOOKUP($D71,'02 Status'!$A:$R,11,FALSE),"")</f>
        <v/>
      </c>
      <c r="L71" s="4" t="str">
        <f>IFERROR(VLOOKUP($D71,'02 Status'!$A:$R,12,FALSE),"")</f>
        <v/>
      </c>
      <c r="M71" s="4" t="str">
        <f>IFERROR(VLOOKUP($D71,'02 Status'!$A:$R,13,FALSE),"")</f>
        <v/>
      </c>
      <c r="N71" s="4" t="str">
        <f>IFERROR(VLOOKUP($D71,'02 Status'!$A:$R,14,FALSE),"")</f>
        <v/>
      </c>
      <c r="O71" s="4" t="str">
        <f>IFERROR(VLOOKUP($D71,'02 Status'!$A:$R,16,FALSE),"")</f>
        <v/>
      </c>
      <c r="P71" s="6"/>
      <c r="Q71" s="4"/>
      <c r="R71" s="4">
        <f t="shared" si="16"/>
        <v>25</v>
      </c>
      <c r="S71" s="4"/>
      <c r="T71" s="4"/>
      <c r="U71" s="4"/>
      <c r="V71" s="4"/>
      <c r="W71" s="4"/>
      <c r="X71" s="4">
        <f t="shared" si="17"/>
        <v>0</v>
      </c>
      <c r="Y71" s="4" t="str">
        <f t="shared" si="18"/>
        <v>Crítica</v>
      </c>
      <c r="Z71" s="4">
        <f t="shared" si="19"/>
        <v>25</v>
      </c>
      <c r="AA71" s="4">
        <f t="shared" si="20"/>
        <v>100</v>
      </c>
      <c r="AB71" s="4">
        <f t="shared" si="21"/>
        <v>40</v>
      </c>
      <c r="AC71" s="4" t="str">
        <f t="shared" si="22"/>
        <v>Baixa</v>
      </c>
      <c r="AD71" s="4" t="str">
        <f t="shared" si="23"/>
        <v>Não</v>
      </c>
      <c r="AE71" s="4"/>
    </row>
    <row r="72" spans="1:31">
      <c r="A72" s="4"/>
      <c r="B72" s="4"/>
      <c r="C72" s="4"/>
      <c r="D72" s="4"/>
      <c r="E72" s="4" t="str">
        <f>IFERROR(VLOOKUP($D72,'02 Status'!$A:$R,4,FALSE),"")</f>
        <v/>
      </c>
      <c r="F72" s="4" t="str">
        <f>IFERROR(VLOOKUP($D72,'02 Status'!$A:$R,3,FALSE),"")</f>
        <v/>
      </c>
      <c r="G72" s="4" t="str">
        <f>IFERROR(VLOOKUP($D72,'02 Status'!$A:$R,7,FALSE),"")</f>
        <v/>
      </c>
      <c r="H72" s="4" t="str">
        <f>IFERROR(VLOOKUP($D72,'02 Status'!$A:$R,8,FALSE),"")</f>
        <v/>
      </c>
      <c r="I72" s="4" t="str">
        <f>IFERROR(VLOOKUP($D72,'02 Status'!$A:$R,9,FALSE),"")</f>
        <v/>
      </c>
      <c r="J72" s="4" t="str">
        <f>IFERROR(VLOOKUP($D72,'02 Status'!$A:$R,10,FALSE),"")</f>
        <v/>
      </c>
      <c r="K72" s="4" t="str">
        <f>IFERROR(VLOOKUP($D72,'02 Status'!$A:$R,11,FALSE),"")</f>
        <v/>
      </c>
      <c r="L72" s="4" t="str">
        <f>IFERROR(VLOOKUP($D72,'02 Status'!$A:$R,12,FALSE),"")</f>
        <v/>
      </c>
      <c r="M72" s="4" t="str">
        <f>IFERROR(VLOOKUP($D72,'02 Status'!$A:$R,13,FALSE),"")</f>
        <v/>
      </c>
      <c r="N72" s="4" t="str">
        <f>IFERROR(VLOOKUP($D72,'02 Status'!$A:$R,14,FALSE),"")</f>
        <v/>
      </c>
      <c r="O72" s="4" t="str">
        <f>IFERROR(VLOOKUP($D72,'02 Status'!$A:$R,16,FALSE),"")</f>
        <v/>
      </c>
      <c r="P72" s="6"/>
      <c r="Q72" s="4"/>
      <c r="R72" s="4">
        <f t="shared" si="16"/>
        <v>25</v>
      </c>
      <c r="S72" s="4"/>
      <c r="T72" s="4"/>
      <c r="U72" s="4"/>
      <c r="V72" s="4"/>
      <c r="W72" s="4"/>
      <c r="X72" s="4">
        <f t="shared" si="17"/>
        <v>0</v>
      </c>
      <c r="Y72" s="4" t="str">
        <f t="shared" si="18"/>
        <v>Crítica</v>
      </c>
      <c r="Z72" s="4">
        <f t="shared" si="19"/>
        <v>25</v>
      </c>
      <c r="AA72" s="4">
        <f t="shared" si="20"/>
        <v>100</v>
      </c>
      <c r="AB72" s="4">
        <f t="shared" si="21"/>
        <v>40</v>
      </c>
      <c r="AC72" s="4" t="str">
        <f t="shared" si="22"/>
        <v>Baixa</v>
      </c>
      <c r="AD72" s="4" t="str">
        <f t="shared" si="23"/>
        <v>Não</v>
      </c>
      <c r="AE72" s="4"/>
    </row>
    <row r="73" spans="1:31">
      <c r="A73" s="4"/>
      <c r="B73" s="4"/>
      <c r="C73" s="4"/>
      <c r="D73" s="4"/>
      <c r="E73" s="4" t="str">
        <f>IFERROR(VLOOKUP($D73,'02 Status'!$A:$R,4,FALSE),"")</f>
        <v/>
      </c>
      <c r="F73" s="4" t="str">
        <f>IFERROR(VLOOKUP($D73,'02 Status'!$A:$R,3,FALSE),"")</f>
        <v/>
      </c>
      <c r="G73" s="4" t="str">
        <f>IFERROR(VLOOKUP($D73,'02 Status'!$A:$R,7,FALSE),"")</f>
        <v/>
      </c>
      <c r="H73" s="4" t="str">
        <f>IFERROR(VLOOKUP($D73,'02 Status'!$A:$R,8,FALSE),"")</f>
        <v/>
      </c>
      <c r="I73" s="4" t="str">
        <f>IFERROR(VLOOKUP($D73,'02 Status'!$A:$R,9,FALSE),"")</f>
        <v/>
      </c>
      <c r="J73" s="4" t="str">
        <f>IFERROR(VLOOKUP($D73,'02 Status'!$A:$R,10,FALSE),"")</f>
        <v/>
      </c>
      <c r="K73" s="4" t="str">
        <f>IFERROR(VLOOKUP($D73,'02 Status'!$A:$R,11,FALSE),"")</f>
        <v/>
      </c>
      <c r="L73" s="4" t="str">
        <f>IFERROR(VLOOKUP($D73,'02 Status'!$A:$R,12,FALSE),"")</f>
        <v/>
      </c>
      <c r="M73" s="4" t="str">
        <f>IFERROR(VLOOKUP($D73,'02 Status'!$A:$R,13,FALSE),"")</f>
        <v/>
      </c>
      <c r="N73" s="4" t="str">
        <f>IFERROR(VLOOKUP($D73,'02 Status'!$A:$R,14,FALSE),"")</f>
        <v/>
      </c>
      <c r="O73" s="4" t="str">
        <f>IFERROR(VLOOKUP($D73,'02 Status'!$A:$R,16,FALSE),"")</f>
        <v/>
      </c>
      <c r="P73" s="6"/>
      <c r="Q73" s="4"/>
      <c r="R73" s="4">
        <f t="shared" si="16"/>
        <v>25</v>
      </c>
      <c r="S73" s="4"/>
      <c r="T73" s="4"/>
      <c r="U73" s="4"/>
      <c r="V73" s="4"/>
      <c r="W73" s="4"/>
      <c r="X73" s="4">
        <f t="shared" si="17"/>
        <v>0</v>
      </c>
      <c r="Y73" s="4" t="str">
        <f t="shared" si="18"/>
        <v>Crítica</v>
      </c>
      <c r="Z73" s="4">
        <f t="shared" si="19"/>
        <v>25</v>
      </c>
      <c r="AA73" s="4">
        <f t="shared" si="20"/>
        <v>100</v>
      </c>
      <c r="AB73" s="4">
        <f t="shared" si="21"/>
        <v>40</v>
      </c>
      <c r="AC73" s="4" t="str">
        <f t="shared" si="22"/>
        <v>Baixa</v>
      </c>
      <c r="AD73" s="4" t="str">
        <f t="shared" si="23"/>
        <v>Não</v>
      </c>
      <c r="AE73" s="4"/>
    </row>
    <row r="74" spans="1:31">
      <c r="A74" s="4"/>
      <c r="B74" s="4"/>
      <c r="C74" s="4"/>
      <c r="D74" s="4"/>
      <c r="E74" s="4" t="str">
        <f>IFERROR(VLOOKUP($D74,'02 Status'!$A:$R,4,FALSE),"")</f>
        <v/>
      </c>
      <c r="F74" s="4" t="str">
        <f>IFERROR(VLOOKUP($D74,'02 Status'!$A:$R,3,FALSE),"")</f>
        <v/>
      </c>
      <c r="G74" s="4" t="str">
        <f>IFERROR(VLOOKUP($D74,'02 Status'!$A:$R,7,FALSE),"")</f>
        <v/>
      </c>
      <c r="H74" s="4" t="str">
        <f>IFERROR(VLOOKUP($D74,'02 Status'!$A:$R,8,FALSE),"")</f>
        <v/>
      </c>
      <c r="I74" s="4" t="str">
        <f>IFERROR(VLOOKUP($D74,'02 Status'!$A:$R,9,FALSE),"")</f>
        <v/>
      </c>
      <c r="J74" s="4" t="str">
        <f>IFERROR(VLOOKUP($D74,'02 Status'!$A:$R,10,FALSE),"")</f>
        <v/>
      </c>
      <c r="K74" s="4" t="str">
        <f>IFERROR(VLOOKUP($D74,'02 Status'!$A:$R,11,FALSE),"")</f>
        <v/>
      </c>
      <c r="L74" s="4" t="str">
        <f>IFERROR(VLOOKUP($D74,'02 Status'!$A:$R,12,FALSE),"")</f>
        <v/>
      </c>
      <c r="M74" s="4" t="str">
        <f>IFERROR(VLOOKUP($D74,'02 Status'!$A:$R,13,FALSE),"")</f>
        <v/>
      </c>
      <c r="N74" s="4" t="str">
        <f>IFERROR(VLOOKUP($D74,'02 Status'!$A:$R,14,FALSE),"")</f>
        <v/>
      </c>
      <c r="O74" s="4" t="str">
        <f>IFERROR(VLOOKUP($D74,'02 Status'!$A:$R,16,FALSE),"")</f>
        <v/>
      </c>
      <c r="P74" s="6"/>
      <c r="Q74" s="4"/>
      <c r="R74" s="4">
        <f t="shared" si="16"/>
        <v>25</v>
      </c>
      <c r="S74" s="4"/>
      <c r="T74" s="4"/>
      <c r="U74" s="4"/>
      <c r="V74" s="4"/>
      <c r="W74" s="4"/>
      <c r="X74" s="4">
        <f t="shared" si="17"/>
        <v>0</v>
      </c>
      <c r="Y74" s="4" t="str">
        <f t="shared" si="18"/>
        <v>Crítica</v>
      </c>
      <c r="Z74" s="4">
        <f t="shared" si="19"/>
        <v>25</v>
      </c>
      <c r="AA74" s="4">
        <f t="shared" si="20"/>
        <v>100</v>
      </c>
      <c r="AB74" s="4">
        <f t="shared" si="21"/>
        <v>40</v>
      </c>
      <c r="AC74" s="4" t="str">
        <f t="shared" si="22"/>
        <v>Baixa</v>
      </c>
      <c r="AD74" s="4" t="str">
        <f t="shared" si="23"/>
        <v>Não</v>
      </c>
      <c r="AE74" s="4"/>
    </row>
    <row r="75" spans="1:31">
      <c r="A75" s="4"/>
      <c r="B75" s="4"/>
      <c r="C75" s="4"/>
      <c r="D75" s="4"/>
      <c r="E75" s="4" t="str">
        <f>IFERROR(VLOOKUP($D75,'02 Status'!$A:$R,4,FALSE),"")</f>
        <v/>
      </c>
      <c r="F75" s="4" t="str">
        <f>IFERROR(VLOOKUP($D75,'02 Status'!$A:$R,3,FALSE),"")</f>
        <v/>
      </c>
      <c r="G75" s="4" t="str">
        <f>IFERROR(VLOOKUP($D75,'02 Status'!$A:$R,7,FALSE),"")</f>
        <v/>
      </c>
      <c r="H75" s="4" t="str">
        <f>IFERROR(VLOOKUP($D75,'02 Status'!$A:$R,8,FALSE),"")</f>
        <v/>
      </c>
      <c r="I75" s="4" t="str">
        <f>IFERROR(VLOOKUP($D75,'02 Status'!$A:$R,9,FALSE),"")</f>
        <v/>
      </c>
      <c r="J75" s="4" t="str">
        <f>IFERROR(VLOOKUP($D75,'02 Status'!$A:$R,10,FALSE),"")</f>
        <v/>
      </c>
      <c r="K75" s="4" t="str">
        <f>IFERROR(VLOOKUP($D75,'02 Status'!$A:$R,11,FALSE),"")</f>
        <v/>
      </c>
      <c r="L75" s="4" t="str">
        <f>IFERROR(VLOOKUP($D75,'02 Status'!$A:$R,12,FALSE),"")</f>
        <v/>
      </c>
      <c r="M75" s="4" t="str">
        <f>IFERROR(VLOOKUP($D75,'02 Status'!$A:$R,13,FALSE),"")</f>
        <v/>
      </c>
      <c r="N75" s="4" t="str">
        <f>IFERROR(VLOOKUP($D75,'02 Status'!$A:$R,14,FALSE),"")</f>
        <v/>
      </c>
      <c r="O75" s="4" t="str">
        <f>IFERROR(VLOOKUP($D75,'02 Status'!$A:$R,16,FALSE),"")</f>
        <v/>
      </c>
      <c r="P75" s="6"/>
      <c r="Q75" s="4"/>
      <c r="R75" s="4">
        <f t="shared" si="16"/>
        <v>25</v>
      </c>
      <c r="S75" s="4"/>
      <c r="T75" s="4"/>
      <c r="U75" s="4"/>
      <c r="V75" s="4"/>
      <c r="W75" s="4"/>
      <c r="X75" s="4">
        <f t="shared" si="17"/>
        <v>0</v>
      </c>
      <c r="Y75" s="4" t="str">
        <f t="shared" si="18"/>
        <v>Crítica</v>
      </c>
      <c r="Z75" s="4">
        <f t="shared" si="19"/>
        <v>25</v>
      </c>
      <c r="AA75" s="4">
        <f t="shared" si="20"/>
        <v>100</v>
      </c>
      <c r="AB75" s="4">
        <f t="shared" si="21"/>
        <v>40</v>
      </c>
      <c r="AC75" s="4" t="str">
        <f t="shared" si="22"/>
        <v>Baixa</v>
      </c>
      <c r="AD75" s="4" t="str">
        <f t="shared" si="23"/>
        <v>Não</v>
      </c>
      <c r="AE75" s="4"/>
    </row>
    <row r="76" spans="1:31">
      <c r="A76" s="4"/>
      <c r="B76" s="4"/>
      <c r="C76" s="4"/>
      <c r="D76" s="4"/>
      <c r="E76" s="4" t="str">
        <f>IFERROR(VLOOKUP($D76,'02 Status'!$A:$R,4,FALSE),"")</f>
        <v/>
      </c>
      <c r="F76" s="4" t="str">
        <f>IFERROR(VLOOKUP($D76,'02 Status'!$A:$R,3,FALSE),"")</f>
        <v/>
      </c>
      <c r="G76" s="4" t="str">
        <f>IFERROR(VLOOKUP($D76,'02 Status'!$A:$R,7,FALSE),"")</f>
        <v/>
      </c>
      <c r="H76" s="4" t="str">
        <f>IFERROR(VLOOKUP($D76,'02 Status'!$A:$R,8,FALSE),"")</f>
        <v/>
      </c>
      <c r="I76" s="4" t="str">
        <f>IFERROR(VLOOKUP($D76,'02 Status'!$A:$R,9,FALSE),"")</f>
        <v/>
      </c>
      <c r="J76" s="4" t="str">
        <f>IFERROR(VLOOKUP($D76,'02 Status'!$A:$R,10,FALSE),"")</f>
        <v/>
      </c>
      <c r="K76" s="4" t="str">
        <f>IFERROR(VLOOKUP($D76,'02 Status'!$A:$R,11,FALSE),"")</f>
        <v/>
      </c>
      <c r="L76" s="4" t="str">
        <f>IFERROR(VLOOKUP($D76,'02 Status'!$A:$R,12,FALSE),"")</f>
        <v/>
      </c>
      <c r="M76" s="4" t="str">
        <f>IFERROR(VLOOKUP($D76,'02 Status'!$A:$R,13,FALSE),"")</f>
        <v/>
      </c>
      <c r="N76" s="4" t="str">
        <f>IFERROR(VLOOKUP($D76,'02 Status'!$A:$R,14,FALSE),"")</f>
        <v/>
      </c>
      <c r="O76" s="4" t="str">
        <f>IFERROR(VLOOKUP($D76,'02 Status'!$A:$R,16,FALSE),"")</f>
        <v/>
      </c>
      <c r="P76" s="6"/>
      <c r="Q76" s="4"/>
      <c r="R76" s="4">
        <f t="shared" si="16"/>
        <v>25</v>
      </c>
      <c r="S76" s="4"/>
      <c r="T76" s="4"/>
      <c r="U76" s="4"/>
      <c r="V76" s="4"/>
      <c r="W76" s="4"/>
      <c r="X76" s="4">
        <f t="shared" si="17"/>
        <v>0</v>
      </c>
      <c r="Y76" s="4" t="str">
        <f t="shared" si="18"/>
        <v>Crítica</v>
      </c>
      <c r="Z76" s="4">
        <f t="shared" si="19"/>
        <v>25</v>
      </c>
      <c r="AA76" s="4">
        <f t="shared" si="20"/>
        <v>100</v>
      </c>
      <c r="AB76" s="4">
        <f t="shared" si="21"/>
        <v>40</v>
      </c>
      <c r="AC76" s="4" t="str">
        <f t="shared" si="22"/>
        <v>Baixa</v>
      </c>
      <c r="AD76" s="4" t="str">
        <f t="shared" si="23"/>
        <v>Não</v>
      </c>
      <c r="AE76" s="4"/>
    </row>
    <row r="77" spans="1:31">
      <c r="A77" s="4"/>
      <c r="B77" s="4"/>
      <c r="C77" s="4"/>
      <c r="D77" s="4"/>
      <c r="E77" s="4" t="str">
        <f>IFERROR(VLOOKUP($D77,'02 Status'!$A:$R,4,FALSE),"")</f>
        <v/>
      </c>
      <c r="F77" s="4" t="str">
        <f>IFERROR(VLOOKUP($D77,'02 Status'!$A:$R,3,FALSE),"")</f>
        <v/>
      </c>
      <c r="G77" s="4" t="str">
        <f>IFERROR(VLOOKUP($D77,'02 Status'!$A:$R,7,FALSE),"")</f>
        <v/>
      </c>
      <c r="H77" s="4" t="str">
        <f>IFERROR(VLOOKUP($D77,'02 Status'!$A:$R,8,FALSE),"")</f>
        <v/>
      </c>
      <c r="I77" s="4" t="str">
        <f>IFERROR(VLOOKUP($D77,'02 Status'!$A:$R,9,FALSE),"")</f>
        <v/>
      </c>
      <c r="J77" s="4" t="str">
        <f>IFERROR(VLOOKUP($D77,'02 Status'!$A:$R,10,FALSE),"")</f>
        <v/>
      </c>
      <c r="K77" s="4" t="str">
        <f>IFERROR(VLOOKUP($D77,'02 Status'!$A:$R,11,FALSE),"")</f>
        <v/>
      </c>
      <c r="L77" s="4" t="str">
        <f>IFERROR(VLOOKUP($D77,'02 Status'!$A:$R,12,FALSE),"")</f>
        <v/>
      </c>
      <c r="M77" s="4" t="str">
        <f>IFERROR(VLOOKUP($D77,'02 Status'!$A:$R,13,FALSE),"")</f>
        <v/>
      </c>
      <c r="N77" s="4" t="str">
        <f>IFERROR(VLOOKUP($D77,'02 Status'!$A:$R,14,FALSE),"")</f>
        <v/>
      </c>
      <c r="O77" s="4" t="str">
        <f>IFERROR(VLOOKUP($D77,'02 Status'!$A:$R,16,FALSE),"")</f>
        <v/>
      </c>
      <c r="P77" s="6"/>
      <c r="Q77" s="4"/>
      <c r="R77" s="4">
        <f t="shared" si="16"/>
        <v>25</v>
      </c>
      <c r="S77" s="4"/>
      <c r="T77" s="4"/>
      <c r="U77" s="4"/>
      <c r="V77" s="4"/>
      <c r="W77" s="4"/>
      <c r="X77" s="4">
        <f t="shared" si="17"/>
        <v>0</v>
      </c>
      <c r="Y77" s="4" t="str">
        <f t="shared" si="18"/>
        <v>Crítica</v>
      </c>
      <c r="Z77" s="4">
        <f t="shared" si="19"/>
        <v>25</v>
      </c>
      <c r="AA77" s="4">
        <f t="shared" si="20"/>
        <v>100</v>
      </c>
      <c r="AB77" s="4">
        <f t="shared" si="21"/>
        <v>40</v>
      </c>
      <c r="AC77" s="4" t="str">
        <f t="shared" si="22"/>
        <v>Baixa</v>
      </c>
      <c r="AD77" s="4" t="str">
        <f t="shared" si="23"/>
        <v>Não</v>
      </c>
      <c r="AE77" s="4"/>
    </row>
    <row r="78" spans="1:31">
      <c r="A78" s="4"/>
      <c r="B78" s="4"/>
      <c r="C78" s="4"/>
      <c r="D78" s="4"/>
      <c r="E78" s="4" t="str">
        <f>IFERROR(VLOOKUP($D78,'02 Status'!$A:$R,4,FALSE),"")</f>
        <v/>
      </c>
      <c r="F78" s="4" t="str">
        <f>IFERROR(VLOOKUP($D78,'02 Status'!$A:$R,3,FALSE),"")</f>
        <v/>
      </c>
      <c r="G78" s="4" t="str">
        <f>IFERROR(VLOOKUP($D78,'02 Status'!$A:$R,7,FALSE),"")</f>
        <v/>
      </c>
      <c r="H78" s="4" t="str">
        <f>IFERROR(VLOOKUP($D78,'02 Status'!$A:$R,8,FALSE),"")</f>
        <v/>
      </c>
      <c r="I78" s="4" t="str">
        <f>IFERROR(VLOOKUP($D78,'02 Status'!$A:$R,9,FALSE),"")</f>
        <v/>
      </c>
      <c r="J78" s="4" t="str">
        <f>IFERROR(VLOOKUP($D78,'02 Status'!$A:$R,10,FALSE),"")</f>
        <v/>
      </c>
      <c r="K78" s="4" t="str">
        <f>IFERROR(VLOOKUP($D78,'02 Status'!$A:$R,11,FALSE),"")</f>
        <v/>
      </c>
      <c r="L78" s="4" t="str">
        <f>IFERROR(VLOOKUP($D78,'02 Status'!$A:$R,12,FALSE),"")</f>
        <v/>
      </c>
      <c r="M78" s="4" t="str">
        <f>IFERROR(VLOOKUP($D78,'02 Status'!$A:$R,13,FALSE),"")</f>
        <v/>
      </c>
      <c r="N78" s="4" t="str">
        <f>IFERROR(VLOOKUP($D78,'02 Status'!$A:$R,14,FALSE),"")</f>
        <v/>
      </c>
      <c r="O78" s="4" t="str">
        <f>IFERROR(VLOOKUP($D78,'02 Status'!$A:$R,16,FALSE),"")</f>
        <v/>
      </c>
      <c r="P78" s="6"/>
      <c r="Q78" s="4"/>
      <c r="R78" s="4">
        <f t="shared" si="16"/>
        <v>25</v>
      </c>
      <c r="S78" s="4"/>
      <c r="T78" s="4"/>
      <c r="U78" s="4"/>
      <c r="V78" s="4"/>
      <c r="W78" s="4"/>
      <c r="X78" s="4">
        <f t="shared" si="17"/>
        <v>0</v>
      </c>
      <c r="Y78" s="4" t="str">
        <f t="shared" si="18"/>
        <v>Crítica</v>
      </c>
      <c r="Z78" s="4">
        <f t="shared" si="19"/>
        <v>25</v>
      </c>
      <c r="AA78" s="4">
        <f t="shared" si="20"/>
        <v>100</v>
      </c>
      <c r="AB78" s="4">
        <f t="shared" si="21"/>
        <v>40</v>
      </c>
      <c r="AC78" s="4" t="str">
        <f t="shared" si="22"/>
        <v>Baixa</v>
      </c>
      <c r="AD78" s="4" t="str">
        <f t="shared" si="23"/>
        <v>Não</v>
      </c>
      <c r="AE78" s="4"/>
    </row>
    <row r="79" spans="1:31">
      <c r="A79" s="4"/>
      <c r="B79" s="4"/>
      <c r="C79" s="4"/>
      <c r="D79" s="4"/>
      <c r="E79" s="4" t="str">
        <f>IFERROR(VLOOKUP($D79,'02 Status'!$A:$R,4,FALSE),"")</f>
        <v/>
      </c>
      <c r="F79" s="4" t="str">
        <f>IFERROR(VLOOKUP($D79,'02 Status'!$A:$R,3,FALSE),"")</f>
        <v/>
      </c>
      <c r="G79" s="4" t="str">
        <f>IFERROR(VLOOKUP($D79,'02 Status'!$A:$R,7,FALSE),"")</f>
        <v/>
      </c>
      <c r="H79" s="4" t="str">
        <f>IFERROR(VLOOKUP($D79,'02 Status'!$A:$R,8,FALSE),"")</f>
        <v/>
      </c>
      <c r="I79" s="4" t="str">
        <f>IFERROR(VLOOKUP($D79,'02 Status'!$A:$R,9,FALSE),"")</f>
        <v/>
      </c>
      <c r="J79" s="4" t="str">
        <f>IFERROR(VLOOKUP($D79,'02 Status'!$A:$R,10,FALSE),"")</f>
        <v/>
      </c>
      <c r="K79" s="4" t="str">
        <f>IFERROR(VLOOKUP($D79,'02 Status'!$A:$R,11,FALSE),"")</f>
        <v/>
      </c>
      <c r="L79" s="4" t="str">
        <f>IFERROR(VLOOKUP($D79,'02 Status'!$A:$R,12,FALSE),"")</f>
        <v/>
      </c>
      <c r="M79" s="4" t="str">
        <f>IFERROR(VLOOKUP($D79,'02 Status'!$A:$R,13,FALSE),"")</f>
        <v/>
      </c>
      <c r="N79" s="4" t="str">
        <f>IFERROR(VLOOKUP($D79,'02 Status'!$A:$R,14,FALSE),"")</f>
        <v/>
      </c>
      <c r="O79" s="4" t="str">
        <f>IFERROR(VLOOKUP($D79,'02 Status'!$A:$R,16,FALSE),"")</f>
        <v/>
      </c>
      <c r="P79" s="6"/>
      <c r="Q79" s="4"/>
      <c r="R79" s="4">
        <f t="shared" si="16"/>
        <v>25</v>
      </c>
      <c r="S79" s="4"/>
      <c r="T79" s="4"/>
      <c r="U79" s="4"/>
      <c r="V79" s="4"/>
      <c r="W79" s="4"/>
      <c r="X79" s="4">
        <f t="shared" si="17"/>
        <v>0</v>
      </c>
      <c r="Y79" s="4" t="str">
        <f t="shared" si="18"/>
        <v>Crítica</v>
      </c>
      <c r="Z79" s="4">
        <f t="shared" si="19"/>
        <v>25</v>
      </c>
      <c r="AA79" s="4">
        <f t="shared" si="20"/>
        <v>100</v>
      </c>
      <c r="AB79" s="4">
        <f t="shared" si="21"/>
        <v>40</v>
      </c>
      <c r="AC79" s="4" t="str">
        <f t="shared" si="22"/>
        <v>Baixa</v>
      </c>
      <c r="AD79" s="4" t="str">
        <f t="shared" si="23"/>
        <v>Não</v>
      </c>
      <c r="AE79" s="4"/>
    </row>
    <row r="80" spans="1:31">
      <c r="A80" s="4"/>
      <c r="B80" s="4"/>
      <c r="C80" s="4"/>
      <c r="D80" s="4"/>
      <c r="E80" s="4" t="str">
        <f>IFERROR(VLOOKUP($D80,'02 Status'!$A:$R,4,FALSE),"")</f>
        <v/>
      </c>
      <c r="F80" s="4" t="str">
        <f>IFERROR(VLOOKUP($D80,'02 Status'!$A:$R,3,FALSE),"")</f>
        <v/>
      </c>
      <c r="G80" s="4" t="str">
        <f>IFERROR(VLOOKUP($D80,'02 Status'!$A:$R,7,FALSE),"")</f>
        <v/>
      </c>
      <c r="H80" s="4" t="str">
        <f>IFERROR(VLOOKUP($D80,'02 Status'!$A:$R,8,FALSE),"")</f>
        <v/>
      </c>
      <c r="I80" s="4" t="str">
        <f>IFERROR(VLOOKUP($D80,'02 Status'!$A:$R,9,FALSE),"")</f>
        <v/>
      </c>
      <c r="J80" s="4" t="str">
        <f>IFERROR(VLOOKUP($D80,'02 Status'!$A:$R,10,FALSE),"")</f>
        <v/>
      </c>
      <c r="K80" s="4" t="str">
        <f>IFERROR(VLOOKUP($D80,'02 Status'!$A:$R,11,FALSE),"")</f>
        <v/>
      </c>
      <c r="L80" s="4" t="str">
        <f>IFERROR(VLOOKUP($D80,'02 Status'!$A:$R,12,FALSE),"")</f>
        <v/>
      </c>
      <c r="M80" s="4" t="str">
        <f>IFERROR(VLOOKUP($D80,'02 Status'!$A:$R,13,FALSE),"")</f>
        <v/>
      </c>
      <c r="N80" s="4" t="str">
        <f>IFERROR(VLOOKUP($D80,'02 Status'!$A:$R,14,FALSE),"")</f>
        <v/>
      </c>
      <c r="O80" s="4" t="str">
        <f>IFERROR(VLOOKUP($D80,'02 Status'!$A:$R,16,FALSE),"")</f>
        <v/>
      </c>
      <c r="P80" s="6"/>
      <c r="Q80" s="4"/>
      <c r="R80" s="4">
        <f t="shared" si="16"/>
        <v>25</v>
      </c>
      <c r="S80" s="4"/>
      <c r="T80" s="4"/>
      <c r="U80" s="4"/>
      <c r="V80" s="4"/>
      <c r="W80" s="4"/>
      <c r="X80" s="4">
        <f t="shared" si="17"/>
        <v>0</v>
      </c>
      <c r="Y80" s="4" t="str">
        <f t="shared" si="18"/>
        <v>Crítica</v>
      </c>
      <c r="Z80" s="4">
        <f t="shared" si="19"/>
        <v>25</v>
      </c>
      <c r="AA80" s="4">
        <f t="shared" si="20"/>
        <v>100</v>
      </c>
      <c r="AB80" s="4">
        <f t="shared" si="21"/>
        <v>40</v>
      </c>
      <c r="AC80" s="4" t="str">
        <f t="shared" si="22"/>
        <v>Baixa</v>
      </c>
      <c r="AD80" s="4" t="str">
        <f t="shared" si="23"/>
        <v>Não</v>
      </c>
      <c r="AE80" s="4"/>
    </row>
    <row r="81" spans="1:31">
      <c r="A81" s="4"/>
      <c r="B81" s="4"/>
      <c r="C81" s="4"/>
      <c r="D81" s="4"/>
      <c r="E81" s="4" t="str">
        <f>IFERROR(VLOOKUP($D81,'02 Status'!$A:$R,4,FALSE),"")</f>
        <v/>
      </c>
      <c r="F81" s="4" t="str">
        <f>IFERROR(VLOOKUP($D81,'02 Status'!$A:$R,3,FALSE),"")</f>
        <v/>
      </c>
      <c r="G81" s="4" t="str">
        <f>IFERROR(VLOOKUP($D81,'02 Status'!$A:$R,7,FALSE),"")</f>
        <v/>
      </c>
      <c r="H81" s="4" t="str">
        <f>IFERROR(VLOOKUP($D81,'02 Status'!$A:$R,8,FALSE),"")</f>
        <v/>
      </c>
      <c r="I81" s="4" t="str">
        <f>IFERROR(VLOOKUP($D81,'02 Status'!$A:$R,9,FALSE),"")</f>
        <v/>
      </c>
      <c r="J81" s="4" t="str">
        <f>IFERROR(VLOOKUP($D81,'02 Status'!$A:$R,10,FALSE),"")</f>
        <v/>
      </c>
      <c r="K81" s="4" t="str">
        <f>IFERROR(VLOOKUP($D81,'02 Status'!$A:$R,11,FALSE),"")</f>
        <v/>
      </c>
      <c r="L81" s="4" t="str">
        <f>IFERROR(VLOOKUP($D81,'02 Status'!$A:$R,12,FALSE),"")</f>
        <v/>
      </c>
      <c r="M81" s="4" t="str">
        <f>IFERROR(VLOOKUP($D81,'02 Status'!$A:$R,13,FALSE),"")</f>
        <v/>
      </c>
      <c r="N81" s="4" t="str">
        <f>IFERROR(VLOOKUP($D81,'02 Status'!$A:$R,14,FALSE),"")</f>
        <v/>
      </c>
      <c r="O81" s="4" t="str">
        <f>IFERROR(VLOOKUP($D81,'02 Status'!$A:$R,16,FALSE),"")</f>
        <v/>
      </c>
      <c r="P81" s="6"/>
      <c r="Q81" s="4"/>
      <c r="R81" s="4">
        <f t="shared" si="16"/>
        <v>25</v>
      </c>
      <c r="S81" s="4"/>
      <c r="T81" s="4"/>
      <c r="U81" s="4"/>
      <c r="V81" s="4"/>
      <c r="W81" s="4"/>
      <c r="X81" s="4">
        <f t="shared" si="17"/>
        <v>0</v>
      </c>
      <c r="Y81" s="4" t="str">
        <f t="shared" si="18"/>
        <v>Crítica</v>
      </c>
      <c r="Z81" s="4">
        <f t="shared" si="19"/>
        <v>25</v>
      </c>
      <c r="AA81" s="4">
        <f t="shared" si="20"/>
        <v>100</v>
      </c>
      <c r="AB81" s="4">
        <f t="shared" si="21"/>
        <v>40</v>
      </c>
      <c r="AC81" s="4" t="str">
        <f t="shared" si="22"/>
        <v>Baixa</v>
      </c>
      <c r="AD81" s="4" t="str">
        <f t="shared" si="23"/>
        <v>Não</v>
      </c>
      <c r="AE81" s="4"/>
    </row>
    <row r="82" spans="1:31">
      <c r="A82" s="4"/>
      <c r="B82" s="4"/>
      <c r="C82" s="4"/>
      <c r="D82" s="4"/>
      <c r="E82" s="4" t="str">
        <f>IFERROR(VLOOKUP($D82,'02 Status'!$A:$R,4,FALSE),"")</f>
        <v/>
      </c>
      <c r="F82" s="4" t="str">
        <f>IFERROR(VLOOKUP($D82,'02 Status'!$A:$R,3,FALSE),"")</f>
        <v/>
      </c>
      <c r="G82" s="4" t="str">
        <f>IFERROR(VLOOKUP($D82,'02 Status'!$A:$R,7,FALSE),"")</f>
        <v/>
      </c>
      <c r="H82" s="4" t="str">
        <f>IFERROR(VLOOKUP($D82,'02 Status'!$A:$R,8,FALSE),"")</f>
        <v/>
      </c>
      <c r="I82" s="4" t="str">
        <f>IFERROR(VLOOKUP($D82,'02 Status'!$A:$R,9,FALSE),"")</f>
        <v/>
      </c>
      <c r="J82" s="4" t="str">
        <f>IFERROR(VLOOKUP($D82,'02 Status'!$A:$R,10,FALSE),"")</f>
        <v/>
      </c>
      <c r="K82" s="4" t="str">
        <f>IFERROR(VLOOKUP($D82,'02 Status'!$A:$R,11,FALSE),"")</f>
        <v/>
      </c>
      <c r="L82" s="4" t="str">
        <f>IFERROR(VLOOKUP($D82,'02 Status'!$A:$R,12,FALSE),"")</f>
        <v/>
      </c>
      <c r="M82" s="4" t="str">
        <f>IFERROR(VLOOKUP($D82,'02 Status'!$A:$R,13,FALSE),"")</f>
        <v/>
      </c>
      <c r="N82" s="4" t="str">
        <f>IFERROR(VLOOKUP($D82,'02 Status'!$A:$R,14,FALSE),"")</f>
        <v/>
      </c>
      <c r="O82" s="4" t="str">
        <f>IFERROR(VLOOKUP($D82,'02 Status'!$A:$R,16,FALSE),"")</f>
        <v/>
      </c>
      <c r="P82" s="6"/>
      <c r="Q82" s="4"/>
      <c r="R82" s="4">
        <f t="shared" si="16"/>
        <v>25</v>
      </c>
      <c r="S82" s="4"/>
      <c r="T82" s="4"/>
      <c r="U82" s="4"/>
      <c r="V82" s="4"/>
      <c r="W82" s="4"/>
      <c r="X82" s="4">
        <f t="shared" si="17"/>
        <v>0</v>
      </c>
      <c r="Y82" s="4" t="str">
        <f t="shared" si="18"/>
        <v>Crítica</v>
      </c>
      <c r="Z82" s="4">
        <f t="shared" si="19"/>
        <v>25</v>
      </c>
      <c r="AA82" s="4">
        <f t="shared" si="20"/>
        <v>100</v>
      </c>
      <c r="AB82" s="4">
        <f t="shared" si="21"/>
        <v>40</v>
      </c>
      <c r="AC82" s="4" t="str">
        <f t="shared" si="22"/>
        <v>Baixa</v>
      </c>
      <c r="AD82" s="4" t="str">
        <f t="shared" si="23"/>
        <v>Não</v>
      </c>
      <c r="AE82" s="4"/>
    </row>
    <row r="83" spans="1:31">
      <c r="A83" s="4"/>
      <c r="B83" s="4"/>
      <c r="C83" s="4"/>
      <c r="D83" s="4"/>
      <c r="E83" s="4" t="str">
        <f>IFERROR(VLOOKUP($D83,'02 Status'!$A:$R,4,FALSE),"")</f>
        <v/>
      </c>
      <c r="F83" s="4" t="str">
        <f>IFERROR(VLOOKUP($D83,'02 Status'!$A:$R,3,FALSE),"")</f>
        <v/>
      </c>
      <c r="G83" s="4" t="str">
        <f>IFERROR(VLOOKUP($D83,'02 Status'!$A:$R,7,FALSE),"")</f>
        <v/>
      </c>
      <c r="H83" s="4" t="str">
        <f>IFERROR(VLOOKUP($D83,'02 Status'!$A:$R,8,FALSE),"")</f>
        <v/>
      </c>
      <c r="I83" s="4" t="str">
        <f>IFERROR(VLOOKUP($D83,'02 Status'!$A:$R,9,FALSE),"")</f>
        <v/>
      </c>
      <c r="J83" s="4" t="str">
        <f>IFERROR(VLOOKUP($D83,'02 Status'!$A:$R,10,FALSE),"")</f>
        <v/>
      </c>
      <c r="K83" s="4" t="str">
        <f>IFERROR(VLOOKUP($D83,'02 Status'!$A:$R,11,FALSE),"")</f>
        <v/>
      </c>
      <c r="L83" s="4" t="str">
        <f>IFERROR(VLOOKUP($D83,'02 Status'!$A:$R,12,FALSE),"")</f>
        <v/>
      </c>
      <c r="M83" s="4" t="str">
        <f>IFERROR(VLOOKUP($D83,'02 Status'!$A:$R,13,FALSE),"")</f>
        <v/>
      </c>
      <c r="N83" s="4" t="str">
        <f>IFERROR(VLOOKUP($D83,'02 Status'!$A:$R,14,FALSE),"")</f>
        <v/>
      </c>
      <c r="O83" s="4" t="str">
        <f>IFERROR(VLOOKUP($D83,'02 Status'!$A:$R,16,FALSE),"")</f>
        <v/>
      </c>
      <c r="P83" s="6"/>
      <c r="Q83" s="4"/>
      <c r="R83" s="4">
        <f t="shared" si="16"/>
        <v>25</v>
      </c>
      <c r="S83" s="4"/>
      <c r="T83" s="4"/>
      <c r="U83" s="4"/>
      <c r="V83" s="4"/>
      <c r="W83" s="4"/>
      <c r="X83" s="4">
        <f t="shared" si="17"/>
        <v>0</v>
      </c>
      <c r="Y83" s="4" t="str">
        <f t="shared" si="18"/>
        <v>Crítica</v>
      </c>
      <c r="Z83" s="4">
        <f t="shared" si="19"/>
        <v>25</v>
      </c>
      <c r="AA83" s="4">
        <f t="shared" si="20"/>
        <v>100</v>
      </c>
      <c r="AB83" s="4">
        <f t="shared" si="21"/>
        <v>40</v>
      </c>
      <c r="AC83" s="4" t="str">
        <f t="shared" si="22"/>
        <v>Baixa</v>
      </c>
      <c r="AD83" s="4" t="str">
        <f t="shared" si="23"/>
        <v>Não</v>
      </c>
      <c r="AE83" s="4"/>
    </row>
    <row r="84" spans="1:31">
      <c r="A84" s="4"/>
      <c r="B84" s="4"/>
      <c r="C84" s="4"/>
      <c r="D84" s="4"/>
      <c r="E84" s="4" t="str">
        <f>IFERROR(VLOOKUP($D84,'02 Status'!$A:$R,4,FALSE),"")</f>
        <v/>
      </c>
      <c r="F84" s="4" t="str">
        <f>IFERROR(VLOOKUP($D84,'02 Status'!$A:$R,3,FALSE),"")</f>
        <v/>
      </c>
      <c r="G84" s="4" t="str">
        <f>IFERROR(VLOOKUP($D84,'02 Status'!$A:$R,7,FALSE),"")</f>
        <v/>
      </c>
      <c r="H84" s="4" t="str">
        <f>IFERROR(VLOOKUP($D84,'02 Status'!$A:$R,8,FALSE),"")</f>
        <v/>
      </c>
      <c r="I84" s="4" t="str">
        <f>IFERROR(VLOOKUP($D84,'02 Status'!$A:$R,9,FALSE),"")</f>
        <v/>
      </c>
      <c r="J84" s="4" t="str">
        <f>IFERROR(VLOOKUP($D84,'02 Status'!$A:$R,10,FALSE),"")</f>
        <v/>
      </c>
      <c r="K84" s="4" t="str">
        <f>IFERROR(VLOOKUP($D84,'02 Status'!$A:$R,11,FALSE),"")</f>
        <v/>
      </c>
      <c r="L84" s="4" t="str">
        <f>IFERROR(VLOOKUP($D84,'02 Status'!$A:$R,12,FALSE),"")</f>
        <v/>
      </c>
      <c r="M84" s="4" t="str">
        <f>IFERROR(VLOOKUP($D84,'02 Status'!$A:$R,13,FALSE),"")</f>
        <v/>
      </c>
      <c r="N84" s="4" t="str">
        <f>IFERROR(VLOOKUP($D84,'02 Status'!$A:$R,14,FALSE),"")</f>
        <v/>
      </c>
      <c r="O84" s="4" t="str">
        <f>IFERROR(VLOOKUP($D84,'02 Status'!$A:$R,16,FALSE),"")</f>
        <v/>
      </c>
      <c r="P84" s="6"/>
      <c r="Q84" s="4"/>
      <c r="R84" s="4">
        <f t="shared" si="16"/>
        <v>25</v>
      </c>
      <c r="S84" s="4"/>
      <c r="T84" s="4"/>
      <c r="U84" s="4"/>
      <c r="V84" s="4"/>
      <c r="W84" s="4"/>
      <c r="X84" s="4">
        <f t="shared" si="17"/>
        <v>0</v>
      </c>
      <c r="Y84" s="4" t="str">
        <f t="shared" si="18"/>
        <v>Crítica</v>
      </c>
      <c r="Z84" s="4">
        <f t="shared" si="19"/>
        <v>25</v>
      </c>
      <c r="AA84" s="4">
        <f t="shared" si="20"/>
        <v>100</v>
      </c>
      <c r="AB84" s="4">
        <f t="shared" si="21"/>
        <v>40</v>
      </c>
      <c r="AC84" s="4" t="str">
        <f t="shared" si="22"/>
        <v>Baixa</v>
      </c>
      <c r="AD84" s="4" t="str">
        <f t="shared" si="23"/>
        <v>Não</v>
      </c>
      <c r="AE84" s="4"/>
    </row>
    <row r="85" spans="1:31">
      <c r="A85" s="4"/>
      <c r="B85" s="4"/>
      <c r="C85" s="4"/>
      <c r="D85" s="4"/>
      <c r="E85" s="4" t="str">
        <f>IFERROR(VLOOKUP($D85,'02 Status'!$A:$R,4,FALSE),"")</f>
        <v/>
      </c>
      <c r="F85" s="4" t="str">
        <f>IFERROR(VLOOKUP($D85,'02 Status'!$A:$R,3,FALSE),"")</f>
        <v/>
      </c>
      <c r="G85" s="4" t="str">
        <f>IFERROR(VLOOKUP($D85,'02 Status'!$A:$R,7,FALSE),"")</f>
        <v/>
      </c>
      <c r="H85" s="4" t="str">
        <f>IFERROR(VLOOKUP($D85,'02 Status'!$A:$R,8,FALSE),"")</f>
        <v/>
      </c>
      <c r="I85" s="4" t="str">
        <f>IFERROR(VLOOKUP($D85,'02 Status'!$A:$R,9,FALSE),"")</f>
        <v/>
      </c>
      <c r="J85" s="4" t="str">
        <f>IFERROR(VLOOKUP($D85,'02 Status'!$A:$R,10,FALSE),"")</f>
        <v/>
      </c>
      <c r="K85" s="4" t="str">
        <f>IFERROR(VLOOKUP($D85,'02 Status'!$A:$R,11,FALSE),"")</f>
        <v/>
      </c>
      <c r="L85" s="4" t="str">
        <f>IFERROR(VLOOKUP($D85,'02 Status'!$A:$R,12,FALSE),"")</f>
        <v/>
      </c>
      <c r="M85" s="4" t="str">
        <f>IFERROR(VLOOKUP($D85,'02 Status'!$A:$R,13,FALSE),"")</f>
        <v/>
      </c>
      <c r="N85" s="4" t="str">
        <f>IFERROR(VLOOKUP($D85,'02 Status'!$A:$R,14,FALSE),"")</f>
        <v/>
      </c>
      <c r="O85" s="4" t="str">
        <f>IFERROR(VLOOKUP($D85,'02 Status'!$A:$R,16,FALSE),"")</f>
        <v/>
      </c>
      <c r="P85" s="6"/>
      <c r="Q85" s="4"/>
      <c r="R85" s="4">
        <f t="shared" si="16"/>
        <v>25</v>
      </c>
      <c r="S85" s="4"/>
      <c r="T85" s="4"/>
      <c r="U85" s="4"/>
      <c r="V85" s="4"/>
      <c r="W85" s="4"/>
      <c r="X85" s="4">
        <f t="shared" si="17"/>
        <v>0</v>
      </c>
      <c r="Y85" s="4" t="str">
        <f t="shared" si="18"/>
        <v>Crítica</v>
      </c>
      <c r="Z85" s="4">
        <f t="shared" si="19"/>
        <v>25</v>
      </c>
      <c r="AA85" s="4">
        <f t="shared" si="20"/>
        <v>100</v>
      </c>
      <c r="AB85" s="4">
        <f t="shared" si="21"/>
        <v>40</v>
      </c>
      <c r="AC85" s="4" t="str">
        <f t="shared" si="22"/>
        <v>Baixa</v>
      </c>
      <c r="AD85" s="4" t="str">
        <f t="shared" si="23"/>
        <v>Não</v>
      </c>
      <c r="AE85" s="4"/>
    </row>
    <row r="86" spans="1:31">
      <c r="A86" s="4"/>
      <c r="B86" s="4"/>
      <c r="C86" s="4"/>
      <c r="D86" s="4"/>
      <c r="E86" s="4" t="str">
        <f>IFERROR(VLOOKUP($D86,'02 Status'!$A:$R,4,FALSE),"")</f>
        <v/>
      </c>
      <c r="F86" s="4" t="str">
        <f>IFERROR(VLOOKUP($D86,'02 Status'!$A:$R,3,FALSE),"")</f>
        <v/>
      </c>
      <c r="G86" s="4" t="str">
        <f>IFERROR(VLOOKUP($D86,'02 Status'!$A:$R,7,FALSE),"")</f>
        <v/>
      </c>
      <c r="H86" s="4" t="str">
        <f>IFERROR(VLOOKUP($D86,'02 Status'!$A:$R,8,FALSE),"")</f>
        <v/>
      </c>
      <c r="I86" s="4" t="str">
        <f>IFERROR(VLOOKUP($D86,'02 Status'!$A:$R,9,FALSE),"")</f>
        <v/>
      </c>
      <c r="J86" s="4" t="str">
        <f>IFERROR(VLOOKUP($D86,'02 Status'!$A:$R,10,FALSE),"")</f>
        <v/>
      </c>
      <c r="K86" s="4" t="str">
        <f>IFERROR(VLOOKUP($D86,'02 Status'!$A:$R,11,FALSE),"")</f>
        <v/>
      </c>
      <c r="L86" s="4" t="str">
        <f>IFERROR(VLOOKUP($D86,'02 Status'!$A:$R,12,FALSE),"")</f>
        <v/>
      </c>
      <c r="M86" s="4" t="str">
        <f>IFERROR(VLOOKUP($D86,'02 Status'!$A:$R,13,FALSE),"")</f>
        <v/>
      </c>
      <c r="N86" s="4" t="str">
        <f>IFERROR(VLOOKUP($D86,'02 Status'!$A:$R,14,FALSE),"")</f>
        <v/>
      </c>
      <c r="O86" s="4" t="str">
        <f>IFERROR(VLOOKUP($D86,'02 Status'!$A:$R,16,FALSE),"")</f>
        <v/>
      </c>
      <c r="P86" s="6"/>
      <c r="Q86" s="4"/>
      <c r="R86" s="4">
        <f t="shared" si="16"/>
        <v>25</v>
      </c>
      <c r="S86" s="4"/>
      <c r="T86" s="4"/>
      <c r="U86" s="4"/>
      <c r="V86" s="4"/>
      <c r="W86" s="4"/>
      <c r="X86" s="4">
        <f t="shared" si="17"/>
        <v>0</v>
      </c>
      <c r="Y86" s="4" t="str">
        <f t="shared" si="18"/>
        <v>Crítica</v>
      </c>
      <c r="Z86" s="4">
        <f t="shared" si="19"/>
        <v>25</v>
      </c>
      <c r="AA86" s="4">
        <f t="shared" si="20"/>
        <v>100</v>
      </c>
      <c r="AB86" s="4">
        <f t="shared" si="21"/>
        <v>40</v>
      </c>
      <c r="AC86" s="4" t="str">
        <f t="shared" si="22"/>
        <v>Baixa</v>
      </c>
      <c r="AD86" s="4" t="str">
        <f t="shared" si="23"/>
        <v>Não</v>
      </c>
      <c r="AE86" s="4"/>
    </row>
    <row r="87" spans="1:31">
      <c r="A87" s="4"/>
      <c r="B87" s="4"/>
      <c r="C87" s="4"/>
      <c r="D87" s="4"/>
      <c r="E87" s="4" t="str">
        <f>IFERROR(VLOOKUP($D87,'02 Status'!$A:$R,4,FALSE),"")</f>
        <v/>
      </c>
      <c r="F87" s="4" t="str">
        <f>IFERROR(VLOOKUP($D87,'02 Status'!$A:$R,3,FALSE),"")</f>
        <v/>
      </c>
      <c r="G87" s="4" t="str">
        <f>IFERROR(VLOOKUP($D87,'02 Status'!$A:$R,7,FALSE),"")</f>
        <v/>
      </c>
      <c r="H87" s="4" t="str">
        <f>IFERROR(VLOOKUP($D87,'02 Status'!$A:$R,8,FALSE),"")</f>
        <v/>
      </c>
      <c r="I87" s="4" t="str">
        <f>IFERROR(VLOOKUP($D87,'02 Status'!$A:$R,9,FALSE),"")</f>
        <v/>
      </c>
      <c r="J87" s="4" t="str">
        <f>IFERROR(VLOOKUP($D87,'02 Status'!$A:$R,10,FALSE),"")</f>
        <v/>
      </c>
      <c r="K87" s="4" t="str">
        <f>IFERROR(VLOOKUP($D87,'02 Status'!$A:$R,11,FALSE),"")</f>
        <v/>
      </c>
      <c r="L87" s="4" t="str">
        <f>IFERROR(VLOOKUP($D87,'02 Status'!$A:$R,12,FALSE),"")</f>
        <v/>
      </c>
      <c r="M87" s="4" t="str">
        <f>IFERROR(VLOOKUP($D87,'02 Status'!$A:$R,13,FALSE),"")</f>
        <v/>
      </c>
      <c r="N87" s="4" t="str">
        <f>IFERROR(VLOOKUP($D87,'02 Status'!$A:$R,14,FALSE),"")</f>
        <v/>
      </c>
      <c r="O87" s="4" t="str">
        <f>IFERROR(VLOOKUP($D87,'02 Status'!$A:$R,16,FALSE),"")</f>
        <v/>
      </c>
      <c r="P87" s="6"/>
      <c r="Q87" s="4"/>
      <c r="R87" s="4">
        <f t="shared" si="16"/>
        <v>25</v>
      </c>
      <c r="S87" s="4"/>
      <c r="T87" s="4"/>
      <c r="U87" s="4"/>
      <c r="V87" s="4"/>
      <c r="W87" s="4"/>
      <c r="X87" s="4">
        <f t="shared" si="17"/>
        <v>0</v>
      </c>
      <c r="Y87" s="4" t="str">
        <f t="shared" si="18"/>
        <v>Crítica</v>
      </c>
      <c r="Z87" s="4">
        <f t="shared" si="19"/>
        <v>25</v>
      </c>
      <c r="AA87" s="4">
        <f t="shared" si="20"/>
        <v>100</v>
      </c>
      <c r="AB87" s="4">
        <f t="shared" si="21"/>
        <v>40</v>
      </c>
      <c r="AC87" s="4" t="str">
        <f t="shared" si="22"/>
        <v>Baixa</v>
      </c>
      <c r="AD87" s="4" t="str">
        <f t="shared" si="23"/>
        <v>Não</v>
      </c>
      <c r="AE87" s="4"/>
    </row>
    <row r="88" spans="1:31">
      <c r="A88" s="4"/>
      <c r="B88" s="4"/>
      <c r="C88" s="4"/>
      <c r="D88" s="4"/>
      <c r="E88" s="4" t="str">
        <f>IFERROR(VLOOKUP($D88,'02 Status'!$A:$R,4,FALSE),"")</f>
        <v/>
      </c>
      <c r="F88" s="4" t="str">
        <f>IFERROR(VLOOKUP($D88,'02 Status'!$A:$R,3,FALSE),"")</f>
        <v/>
      </c>
      <c r="G88" s="4" t="str">
        <f>IFERROR(VLOOKUP($D88,'02 Status'!$A:$R,7,FALSE),"")</f>
        <v/>
      </c>
      <c r="H88" s="4" t="str">
        <f>IFERROR(VLOOKUP($D88,'02 Status'!$A:$R,8,FALSE),"")</f>
        <v/>
      </c>
      <c r="I88" s="4" t="str">
        <f>IFERROR(VLOOKUP($D88,'02 Status'!$A:$R,9,FALSE),"")</f>
        <v/>
      </c>
      <c r="J88" s="4" t="str">
        <f>IFERROR(VLOOKUP($D88,'02 Status'!$A:$R,10,FALSE),"")</f>
        <v/>
      </c>
      <c r="K88" s="4" t="str">
        <f>IFERROR(VLOOKUP($D88,'02 Status'!$A:$R,11,FALSE),"")</f>
        <v/>
      </c>
      <c r="L88" s="4" t="str">
        <f>IFERROR(VLOOKUP($D88,'02 Status'!$A:$R,12,FALSE),"")</f>
        <v/>
      </c>
      <c r="M88" s="4" t="str">
        <f>IFERROR(VLOOKUP($D88,'02 Status'!$A:$R,13,FALSE),"")</f>
        <v/>
      </c>
      <c r="N88" s="4" t="str">
        <f>IFERROR(VLOOKUP($D88,'02 Status'!$A:$R,14,FALSE),"")</f>
        <v/>
      </c>
      <c r="O88" s="4" t="str">
        <f>IFERROR(VLOOKUP($D88,'02 Status'!$A:$R,16,FALSE),"")</f>
        <v/>
      </c>
      <c r="P88" s="6"/>
      <c r="Q88" s="4"/>
      <c r="R88" s="4">
        <f t="shared" si="16"/>
        <v>25</v>
      </c>
      <c r="S88" s="4"/>
      <c r="T88" s="4"/>
      <c r="U88" s="4"/>
      <c r="V88" s="4"/>
      <c r="W88" s="4"/>
      <c r="X88" s="4">
        <f t="shared" si="17"/>
        <v>0</v>
      </c>
      <c r="Y88" s="4" t="str">
        <f t="shared" si="18"/>
        <v>Crítica</v>
      </c>
      <c r="Z88" s="4">
        <f t="shared" si="19"/>
        <v>25</v>
      </c>
      <c r="AA88" s="4">
        <f t="shared" si="20"/>
        <v>100</v>
      </c>
      <c r="AB88" s="4">
        <f t="shared" si="21"/>
        <v>40</v>
      </c>
      <c r="AC88" s="4" t="str">
        <f t="shared" si="22"/>
        <v>Baixa</v>
      </c>
      <c r="AD88" s="4" t="str">
        <f t="shared" si="23"/>
        <v>Não</v>
      </c>
      <c r="AE88" s="4"/>
    </row>
    <row r="89" spans="1:31">
      <c r="A89" s="4"/>
      <c r="B89" s="4"/>
      <c r="C89" s="4"/>
      <c r="D89" s="4"/>
      <c r="E89" s="4" t="str">
        <f>IFERROR(VLOOKUP($D89,'02 Status'!$A:$R,4,FALSE),"")</f>
        <v/>
      </c>
      <c r="F89" s="4" t="str">
        <f>IFERROR(VLOOKUP($D89,'02 Status'!$A:$R,3,FALSE),"")</f>
        <v/>
      </c>
      <c r="G89" s="4" t="str">
        <f>IFERROR(VLOOKUP($D89,'02 Status'!$A:$R,7,FALSE),"")</f>
        <v/>
      </c>
      <c r="H89" s="4" t="str">
        <f>IFERROR(VLOOKUP($D89,'02 Status'!$A:$R,8,FALSE),"")</f>
        <v/>
      </c>
      <c r="I89" s="4" t="str">
        <f>IFERROR(VLOOKUP($D89,'02 Status'!$A:$R,9,FALSE),"")</f>
        <v/>
      </c>
      <c r="J89" s="4" t="str">
        <f>IFERROR(VLOOKUP($D89,'02 Status'!$A:$R,10,FALSE),"")</f>
        <v/>
      </c>
      <c r="K89" s="4" t="str">
        <f>IFERROR(VLOOKUP($D89,'02 Status'!$A:$R,11,FALSE),"")</f>
        <v/>
      </c>
      <c r="L89" s="4" t="str">
        <f>IFERROR(VLOOKUP($D89,'02 Status'!$A:$R,12,FALSE),"")</f>
        <v/>
      </c>
      <c r="M89" s="4" t="str">
        <f>IFERROR(VLOOKUP($D89,'02 Status'!$A:$R,13,FALSE),"")</f>
        <v/>
      </c>
      <c r="N89" s="4" t="str">
        <f>IFERROR(VLOOKUP($D89,'02 Status'!$A:$R,14,FALSE),"")</f>
        <v/>
      </c>
      <c r="O89" s="4" t="str">
        <f>IFERROR(VLOOKUP($D89,'02 Status'!$A:$R,16,FALSE),"")</f>
        <v/>
      </c>
      <c r="P89" s="6"/>
      <c r="Q89" s="4"/>
      <c r="R89" s="4">
        <f t="shared" si="16"/>
        <v>25</v>
      </c>
      <c r="S89" s="4"/>
      <c r="T89" s="4"/>
      <c r="U89" s="4"/>
      <c r="V89" s="4"/>
      <c r="W89" s="4"/>
      <c r="X89" s="4">
        <f t="shared" si="17"/>
        <v>0</v>
      </c>
      <c r="Y89" s="4" t="str">
        <f t="shared" si="18"/>
        <v>Crítica</v>
      </c>
      <c r="Z89" s="4">
        <f t="shared" si="19"/>
        <v>25</v>
      </c>
      <c r="AA89" s="4">
        <f t="shared" si="20"/>
        <v>100</v>
      </c>
      <c r="AB89" s="4">
        <f t="shared" si="21"/>
        <v>40</v>
      </c>
      <c r="AC89" s="4" t="str">
        <f t="shared" si="22"/>
        <v>Baixa</v>
      </c>
      <c r="AD89" s="4" t="str">
        <f t="shared" si="23"/>
        <v>Não</v>
      </c>
      <c r="AE89" s="4"/>
    </row>
    <row r="90" spans="1:31">
      <c r="A90" s="4"/>
      <c r="B90" s="4"/>
      <c r="C90" s="4"/>
      <c r="D90" s="4"/>
      <c r="E90" s="4" t="str">
        <f>IFERROR(VLOOKUP($D90,'02 Status'!$A:$R,4,FALSE),"")</f>
        <v/>
      </c>
      <c r="F90" s="4" t="str">
        <f>IFERROR(VLOOKUP($D90,'02 Status'!$A:$R,3,FALSE),"")</f>
        <v/>
      </c>
      <c r="G90" s="4" t="str">
        <f>IFERROR(VLOOKUP($D90,'02 Status'!$A:$R,7,FALSE),"")</f>
        <v/>
      </c>
      <c r="H90" s="4" t="str">
        <f>IFERROR(VLOOKUP($D90,'02 Status'!$A:$R,8,FALSE),"")</f>
        <v/>
      </c>
      <c r="I90" s="4" t="str">
        <f>IFERROR(VLOOKUP($D90,'02 Status'!$A:$R,9,FALSE),"")</f>
        <v/>
      </c>
      <c r="J90" s="4" t="str">
        <f>IFERROR(VLOOKUP($D90,'02 Status'!$A:$R,10,FALSE),"")</f>
        <v/>
      </c>
      <c r="K90" s="4" t="str">
        <f>IFERROR(VLOOKUP($D90,'02 Status'!$A:$R,11,FALSE),"")</f>
        <v/>
      </c>
      <c r="L90" s="4" t="str">
        <f>IFERROR(VLOOKUP($D90,'02 Status'!$A:$R,12,FALSE),"")</f>
        <v/>
      </c>
      <c r="M90" s="4" t="str">
        <f>IFERROR(VLOOKUP($D90,'02 Status'!$A:$R,13,FALSE),"")</f>
        <v/>
      </c>
      <c r="N90" s="4" t="str">
        <f>IFERROR(VLOOKUP($D90,'02 Status'!$A:$R,14,FALSE),"")</f>
        <v/>
      </c>
      <c r="O90" s="4" t="str">
        <f>IFERROR(VLOOKUP($D90,'02 Status'!$A:$R,16,FALSE),"")</f>
        <v/>
      </c>
      <c r="P90" s="6"/>
      <c r="Q90" s="4"/>
      <c r="R90" s="4">
        <f t="shared" si="16"/>
        <v>25</v>
      </c>
      <c r="S90" s="4"/>
      <c r="T90" s="4"/>
      <c r="U90" s="4"/>
      <c r="V90" s="4"/>
      <c r="W90" s="4"/>
      <c r="X90" s="4">
        <f t="shared" si="17"/>
        <v>0</v>
      </c>
      <c r="Y90" s="4" t="str">
        <f t="shared" si="18"/>
        <v>Crítica</v>
      </c>
      <c r="Z90" s="4">
        <f t="shared" si="19"/>
        <v>25</v>
      </c>
      <c r="AA90" s="4">
        <f t="shared" si="20"/>
        <v>100</v>
      </c>
      <c r="AB90" s="4">
        <f t="shared" si="21"/>
        <v>40</v>
      </c>
      <c r="AC90" s="4" t="str">
        <f t="shared" si="22"/>
        <v>Baixa</v>
      </c>
      <c r="AD90" s="4" t="str">
        <f t="shared" si="23"/>
        <v>Não</v>
      </c>
      <c r="AE90" s="4"/>
    </row>
    <row r="91" spans="1:31">
      <c r="A91" s="4"/>
      <c r="B91" s="4"/>
      <c r="C91" s="4"/>
      <c r="D91" s="4"/>
      <c r="E91" s="4" t="str">
        <f>IFERROR(VLOOKUP($D91,'02 Status'!$A:$R,4,FALSE),"")</f>
        <v/>
      </c>
      <c r="F91" s="4" t="str">
        <f>IFERROR(VLOOKUP($D91,'02 Status'!$A:$R,3,FALSE),"")</f>
        <v/>
      </c>
      <c r="G91" s="4" t="str">
        <f>IFERROR(VLOOKUP($D91,'02 Status'!$A:$R,7,FALSE),"")</f>
        <v/>
      </c>
      <c r="H91" s="4" t="str">
        <f>IFERROR(VLOOKUP($D91,'02 Status'!$A:$R,8,FALSE),"")</f>
        <v/>
      </c>
      <c r="I91" s="4" t="str">
        <f>IFERROR(VLOOKUP($D91,'02 Status'!$A:$R,9,FALSE),"")</f>
        <v/>
      </c>
      <c r="J91" s="4" t="str">
        <f>IFERROR(VLOOKUP($D91,'02 Status'!$A:$R,10,FALSE),"")</f>
        <v/>
      </c>
      <c r="K91" s="4" t="str">
        <f>IFERROR(VLOOKUP($D91,'02 Status'!$A:$R,11,FALSE),"")</f>
        <v/>
      </c>
      <c r="L91" s="4" t="str">
        <f>IFERROR(VLOOKUP($D91,'02 Status'!$A:$R,12,FALSE),"")</f>
        <v/>
      </c>
      <c r="M91" s="4" t="str">
        <f>IFERROR(VLOOKUP($D91,'02 Status'!$A:$R,13,FALSE),"")</f>
        <v/>
      </c>
      <c r="N91" s="4" t="str">
        <f>IFERROR(VLOOKUP($D91,'02 Status'!$A:$R,14,FALSE),"")</f>
        <v/>
      </c>
      <c r="O91" s="4" t="str">
        <f>IFERROR(VLOOKUP($D91,'02 Status'!$A:$R,16,FALSE),"")</f>
        <v/>
      </c>
      <c r="P91" s="6"/>
      <c r="Q91" s="4"/>
      <c r="R91" s="4">
        <f t="shared" si="16"/>
        <v>25</v>
      </c>
      <c r="S91" s="4"/>
      <c r="T91" s="4"/>
      <c r="U91" s="4"/>
      <c r="V91" s="4"/>
      <c r="W91" s="4"/>
      <c r="X91" s="4">
        <f t="shared" si="17"/>
        <v>0</v>
      </c>
      <c r="Y91" s="4" t="str">
        <f t="shared" si="18"/>
        <v>Crítica</v>
      </c>
      <c r="Z91" s="4">
        <f t="shared" si="19"/>
        <v>25</v>
      </c>
      <c r="AA91" s="4">
        <f t="shared" si="20"/>
        <v>100</v>
      </c>
      <c r="AB91" s="4">
        <f t="shared" si="21"/>
        <v>40</v>
      </c>
      <c r="AC91" s="4" t="str">
        <f t="shared" si="22"/>
        <v>Baixa</v>
      </c>
      <c r="AD91" s="4" t="str">
        <f t="shared" si="23"/>
        <v>Não</v>
      </c>
      <c r="AE91" s="4"/>
    </row>
    <row r="92" spans="1:31">
      <c r="A92" s="4"/>
      <c r="B92" s="4"/>
      <c r="C92" s="4"/>
      <c r="D92" s="4"/>
      <c r="E92" s="4" t="str">
        <f>IFERROR(VLOOKUP($D92,'02 Status'!$A:$R,4,FALSE),"")</f>
        <v/>
      </c>
      <c r="F92" s="4" t="str">
        <f>IFERROR(VLOOKUP($D92,'02 Status'!$A:$R,3,FALSE),"")</f>
        <v/>
      </c>
      <c r="G92" s="4" t="str">
        <f>IFERROR(VLOOKUP($D92,'02 Status'!$A:$R,7,FALSE),"")</f>
        <v/>
      </c>
      <c r="H92" s="4" t="str">
        <f>IFERROR(VLOOKUP($D92,'02 Status'!$A:$R,8,FALSE),"")</f>
        <v/>
      </c>
      <c r="I92" s="4" t="str">
        <f>IFERROR(VLOOKUP($D92,'02 Status'!$A:$R,9,FALSE),"")</f>
        <v/>
      </c>
      <c r="J92" s="4" t="str">
        <f>IFERROR(VLOOKUP($D92,'02 Status'!$A:$R,10,FALSE),"")</f>
        <v/>
      </c>
      <c r="K92" s="4" t="str">
        <f>IFERROR(VLOOKUP($D92,'02 Status'!$A:$R,11,FALSE),"")</f>
        <v/>
      </c>
      <c r="L92" s="4" t="str">
        <f>IFERROR(VLOOKUP($D92,'02 Status'!$A:$R,12,FALSE),"")</f>
        <v/>
      </c>
      <c r="M92" s="4" t="str">
        <f>IFERROR(VLOOKUP($D92,'02 Status'!$A:$R,13,FALSE),"")</f>
        <v/>
      </c>
      <c r="N92" s="4" t="str">
        <f>IFERROR(VLOOKUP($D92,'02 Status'!$A:$R,14,FALSE),"")</f>
        <v/>
      </c>
      <c r="O92" s="4" t="str">
        <f>IFERROR(VLOOKUP($D92,'02 Status'!$A:$R,16,FALSE),"")</f>
        <v/>
      </c>
      <c r="P92" s="6"/>
      <c r="Q92" s="4"/>
      <c r="R92" s="4">
        <f t="shared" si="16"/>
        <v>25</v>
      </c>
      <c r="S92" s="4"/>
      <c r="T92" s="4"/>
      <c r="U92" s="4"/>
      <c r="V92" s="4"/>
      <c r="W92" s="4"/>
      <c r="X92" s="4">
        <f t="shared" si="17"/>
        <v>0</v>
      </c>
      <c r="Y92" s="4" t="str">
        <f t="shared" si="18"/>
        <v>Crítica</v>
      </c>
      <c r="Z92" s="4">
        <f t="shared" si="19"/>
        <v>25</v>
      </c>
      <c r="AA92" s="4">
        <f t="shared" si="20"/>
        <v>100</v>
      </c>
      <c r="AB92" s="4">
        <f t="shared" si="21"/>
        <v>40</v>
      </c>
      <c r="AC92" s="4" t="str">
        <f t="shared" si="22"/>
        <v>Baixa</v>
      </c>
      <c r="AD92" s="4" t="str">
        <f t="shared" si="23"/>
        <v>Não</v>
      </c>
      <c r="AE92" s="4"/>
    </row>
    <row r="93" spans="1:31">
      <c r="A93" s="4"/>
      <c r="B93" s="4"/>
      <c r="C93" s="4"/>
      <c r="D93" s="4"/>
      <c r="E93" s="4" t="str">
        <f>IFERROR(VLOOKUP($D93,'02 Status'!$A:$R,4,FALSE),"")</f>
        <v/>
      </c>
      <c r="F93" s="4" t="str">
        <f>IFERROR(VLOOKUP($D93,'02 Status'!$A:$R,3,FALSE),"")</f>
        <v/>
      </c>
      <c r="G93" s="4" t="str">
        <f>IFERROR(VLOOKUP($D93,'02 Status'!$A:$R,7,FALSE),"")</f>
        <v/>
      </c>
      <c r="H93" s="4" t="str">
        <f>IFERROR(VLOOKUP($D93,'02 Status'!$A:$R,8,FALSE),"")</f>
        <v/>
      </c>
      <c r="I93" s="4" t="str">
        <f>IFERROR(VLOOKUP($D93,'02 Status'!$A:$R,9,FALSE),"")</f>
        <v/>
      </c>
      <c r="J93" s="4" t="str">
        <f>IFERROR(VLOOKUP($D93,'02 Status'!$A:$R,10,FALSE),"")</f>
        <v/>
      </c>
      <c r="K93" s="4" t="str">
        <f>IFERROR(VLOOKUP($D93,'02 Status'!$A:$R,11,FALSE),"")</f>
        <v/>
      </c>
      <c r="L93" s="4" t="str">
        <f>IFERROR(VLOOKUP($D93,'02 Status'!$A:$R,12,FALSE),"")</f>
        <v/>
      </c>
      <c r="M93" s="4" t="str">
        <f>IFERROR(VLOOKUP($D93,'02 Status'!$A:$R,13,FALSE),"")</f>
        <v/>
      </c>
      <c r="N93" s="4" t="str">
        <f>IFERROR(VLOOKUP($D93,'02 Status'!$A:$R,14,FALSE),"")</f>
        <v/>
      </c>
      <c r="O93" s="4" t="str">
        <f>IFERROR(VLOOKUP($D93,'02 Status'!$A:$R,16,FALSE),"")</f>
        <v/>
      </c>
      <c r="P93" s="6"/>
      <c r="Q93" s="4"/>
      <c r="R93" s="4">
        <f t="shared" si="16"/>
        <v>25</v>
      </c>
      <c r="S93" s="4"/>
      <c r="T93" s="4"/>
      <c r="U93" s="4"/>
      <c r="V93" s="4"/>
      <c r="W93" s="4"/>
      <c r="X93" s="4">
        <f t="shared" si="17"/>
        <v>0</v>
      </c>
      <c r="Y93" s="4" t="str">
        <f t="shared" si="18"/>
        <v>Crítica</v>
      </c>
      <c r="Z93" s="4">
        <f t="shared" si="19"/>
        <v>25</v>
      </c>
      <c r="AA93" s="4">
        <f t="shared" si="20"/>
        <v>100</v>
      </c>
      <c r="AB93" s="4">
        <f t="shared" si="21"/>
        <v>40</v>
      </c>
      <c r="AC93" s="4" t="str">
        <f t="shared" si="22"/>
        <v>Baixa</v>
      </c>
      <c r="AD93" s="4" t="str">
        <f t="shared" si="23"/>
        <v>Não</v>
      </c>
      <c r="AE93" s="4"/>
    </row>
    <row r="94" spans="1:31">
      <c r="A94" s="4"/>
      <c r="B94" s="4"/>
      <c r="C94" s="4"/>
      <c r="D94" s="4"/>
      <c r="E94" s="4" t="str">
        <f>IFERROR(VLOOKUP($D94,'02 Status'!$A:$R,4,FALSE),"")</f>
        <v/>
      </c>
      <c r="F94" s="4" t="str">
        <f>IFERROR(VLOOKUP($D94,'02 Status'!$A:$R,3,FALSE),"")</f>
        <v/>
      </c>
      <c r="G94" s="4" t="str">
        <f>IFERROR(VLOOKUP($D94,'02 Status'!$A:$R,7,FALSE),"")</f>
        <v/>
      </c>
      <c r="H94" s="4" t="str">
        <f>IFERROR(VLOOKUP($D94,'02 Status'!$A:$R,8,FALSE),"")</f>
        <v/>
      </c>
      <c r="I94" s="4" t="str">
        <f>IFERROR(VLOOKUP($D94,'02 Status'!$A:$R,9,FALSE),"")</f>
        <v/>
      </c>
      <c r="J94" s="4" t="str">
        <f>IFERROR(VLOOKUP($D94,'02 Status'!$A:$R,10,FALSE),"")</f>
        <v/>
      </c>
      <c r="K94" s="4" t="str">
        <f>IFERROR(VLOOKUP($D94,'02 Status'!$A:$R,11,FALSE),"")</f>
        <v/>
      </c>
      <c r="L94" s="4" t="str">
        <f>IFERROR(VLOOKUP($D94,'02 Status'!$A:$R,12,FALSE),"")</f>
        <v/>
      </c>
      <c r="M94" s="4" t="str">
        <f>IFERROR(VLOOKUP($D94,'02 Status'!$A:$R,13,FALSE),"")</f>
        <v/>
      </c>
      <c r="N94" s="4" t="str">
        <f>IFERROR(VLOOKUP($D94,'02 Status'!$A:$R,14,FALSE),"")</f>
        <v/>
      </c>
      <c r="O94" s="4" t="str">
        <f>IFERROR(VLOOKUP($D94,'02 Status'!$A:$R,16,FALSE),"")</f>
        <v/>
      </c>
      <c r="P94" s="6"/>
      <c r="Q94" s="4"/>
      <c r="R94" s="4">
        <f t="shared" si="16"/>
        <v>25</v>
      </c>
      <c r="S94" s="4"/>
      <c r="T94" s="4"/>
      <c r="U94" s="4"/>
      <c r="V94" s="4"/>
      <c r="W94" s="4"/>
      <c r="X94" s="4">
        <f t="shared" si="17"/>
        <v>0</v>
      </c>
      <c r="Y94" s="4" t="str">
        <f t="shared" si="18"/>
        <v>Crítica</v>
      </c>
      <c r="Z94" s="4">
        <f t="shared" si="19"/>
        <v>25</v>
      </c>
      <c r="AA94" s="4">
        <f t="shared" si="20"/>
        <v>100</v>
      </c>
      <c r="AB94" s="4">
        <f t="shared" si="21"/>
        <v>40</v>
      </c>
      <c r="AC94" s="4" t="str">
        <f t="shared" si="22"/>
        <v>Baixa</v>
      </c>
      <c r="AD94" s="4" t="str">
        <f t="shared" si="23"/>
        <v>Não</v>
      </c>
      <c r="AE94" s="4"/>
    </row>
    <row r="95" spans="1:31">
      <c r="A95" s="4"/>
      <c r="B95" s="4"/>
      <c r="C95" s="4"/>
      <c r="D95" s="4"/>
      <c r="E95" s="4" t="str">
        <f>IFERROR(VLOOKUP($D95,'02 Status'!$A:$R,4,FALSE),"")</f>
        <v/>
      </c>
      <c r="F95" s="4" t="str">
        <f>IFERROR(VLOOKUP($D95,'02 Status'!$A:$R,3,FALSE),"")</f>
        <v/>
      </c>
      <c r="G95" s="4" t="str">
        <f>IFERROR(VLOOKUP($D95,'02 Status'!$A:$R,7,FALSE),"")</f>
        <v/>
      </c>
      <c r="H95" s="4" t="str">
        <f>IFERROR(VLOOKUP($D95,'02 Status'!$A:$R,8,FALSE),"")</f>
        <v/>
      </c>
      <c r="I95" s="4" t="str">
        <f>IFERROR(VLOOKUP($D95,'02 Status'!$A:$R,9,FALSE),"")</f>
        <v/>
      </c>
      <c r="J95" s="4" t="str">
        <f>IFERROR(VLOOKUP($D95,'02 Status'!$A:$R,10,FALSE),"")</f>
        <v/>
      </c>
      <c r="K95" s="4" t="str">
        <f>IFERROR(VLOOKUP($D95,'02 Status'!$A:$R,11,FALSE),"")</f>
        <v/>
      </c>
      <c r="L95" s="4" t="str">
        <f>IFERROR(VLOOKUP($D95,'02 Status'!$A:$R,12,FALSE),"")</f>
        <v/>
      </c>
      <c r="M95" s="4" t="str">
        <f>IFERROR(VLOOKUP($D95,'02 Status'!$A:$R,13,FALSE),"")</f>
        <v/>
      </c>
      <c r="N95" s="4" t="str">
        <f>IFERROR(VLOOKUP($D95,'02 Status'!$A:$R,14,FALSE),"")</f>
        <v/>
      </c>
      <c r="O95" s="4" t="str">
        <f>IFERROR(VLOOKUP($D95,'02 Status'!$A:$R,16,FALSE),"")</f>
        <v/>
      </c>
      <c r="P95" s="6"/>
      <c r="Q95" s="4"/>
      <c r="R95" s="4">
        <f t="shared" si="16"/>
        <v>25</v>
      </c>
      <c r="S95" s="4"/>
      <c r="T95" s="4"/>
      <c r="U95" s="4"/>
      <c r="V95" s="4"/>
      <c r="W95" s="4"/>
      <c r="X95" s="4">
        <f t="shared" si="17"/>
        <v>0</v>
      </c>
      <c r="Y95" s="4" t="str">
        <f t="shared" si="18"/>
        <v>Crítica</v>
      </c>
      <c r="Z95" s="4">
        <f t="shared" si="19"/>
        <v>25</v>
      </c>
      <c r="AA95" s="4">
        <f t="shared" si="20"/>
        <v>100</v>
      </c>
      <c r="AB95" s="4">
        <f t="shared" si="21"/>
        <v>40</v>
      </c>
      <c r="AC95" s="4" t="str">
        <f t="shared" si="22"/>
        <v>Baixa</v>
      </c>
      <c r="AD95" s="4" t="str">
        <f t="shared" si="23"/>
        <v>Não</v>
      </c>
      <c r="AE95" s="4"/>
    </row>
    <row r="96" spans="1:31">
      <c r="A96" s="4"/>
      <c r="B96" s="4"/>
      <c r="C96" s="4"/>
      <c r="D96" s="4"/>
      <c r="E96" s="4" t="str">
        <f>IFERROR(VLOOKUP($D96,'02 Status'!$A:$R,4,FALSE),"")</f>
        <v/>
      </c>
      <c r="F96" s="4" t="str">
        <f>IFERROR(VLOOKUP($D96,'02 Status'!$A:$R,3,FALSE),"")</f>
        <v/>
      </c>
      <c r="G96" s="4" t="str">
        <f>IFERROR(VLOOKUP($D96,'02 Status'!$A:$R,7,FALSE),"")</f>
        <v/>
      </c>
      <c r="H96" s="4" t="str">
        <f>IFERROR(VLOOKUP($D96,'02 Status'!$A:$R,8,FALSE),"")</f>
        <v/>
      </c>
      <c r="I96" s="4" t="str">
        <f>IFERROR(VLOOKUP($D96,'02 Status'!$A:$R,9,FALSE),"")</f>
        <v/>
      </c>
      <c r="J96" s="4" t="str">
        <f>IFERROR(VLOOKUP($D96,'02 Status'!$A:$R,10,FALSE),"")</f>
        <v/>
      </c>
      <c r="K96" s="4" t="str">
        <f>IFERROR(VLOOKUP($D96,'02 Status'!$A:$R,11,FALSE),"")</f>
        <v/>
      </c>
      <c r="L96" s="4" t="str">
        <f>IFERROR(VLOOKUP($D96,'02 Status'!$A:$R,12,FALSE),"")</f>
        <v/>
      </c>
      <c r="M96" s="4" t="str">
        <f>IFERROR(VLOOKUP($D96,'02 Status'!$A:$R,13,FALSE),"")</f>
        <v/>
      </c>
      <c r="N96" s="4" t="str">
        <f>IFERROR(VLOOKUP($D96,'02 Status'!$A:$R,14,FALSE),"")</f>
        <v/>
      </c>
      <c r="O96" s="4" t="str">
        <f>IFERROR(VLOOKUP($D96,'02 Status'!$A:$R,16,FALSE),"")</f>
        <v/>
      </c>
      <c r="P96" s="6"/>
      <c r="Q96" s="4"/>
      <c r="R96" s="4">
        <f t="shared" si="16"/>
        <v>25</v>
      </c>
      <c r="S96" s="4"/>
      <c r="T96" s="4"/>
      <c r="U96" s="4"/>
      <c r="V96" s="4"/>
      <c r="W96" s="4"/>
      <c r="X96" s="4">
        <f t="shared" si="17"/>
        <v>0</v>
      </c>
      <c r="Y96" s="4" t="str">
        <f t="shared" si="18"/>
        <v>Crítica</v>
      </c>
      <c r="Z96" s="4">
        <f t="shared" si="19"/>
        <v>25</v>
      </c>
      <c r="AA96" s="4">
        <f t="shared" si="20"/>
        <v>100</v>
      </c>
      <c r="AB96" s="4">
        <f t="shared" si="21"/>
        <v>40</v>
      </c>
      <c r="AC96" s="4" t="str">
        <f t="shared" si="22"/>
        <v>Baixa</v>
      </c>
      <c r="AD96" s="4" t="str">
        <f t="shared" si="23"/>
        <v>Não</v>
      </c>
      <c r="AE96" s="4"/>
    </row>
    <row r="97" spans="1:31">
      <c r="A97" s="4"/>
      <c r="B97" s="4"/>
      <c r="C97" s="4"/>
      <c r="D97" s="4"/>
      <c r="E97" s="4" t="str">
        <f>IFERROR(VLOOKUP($D97,'02 Status'!$A:$R,4,FALSE),"")</f>
        <v/>
      </c>
      <c r="F97" s="4" t="str">
        <f>IFERROR(VLOOKUP($D97,'02 Status'!$A:$R,3,FALSE),"")</f>
        <v/>
      </c>
      <c r="G97" s="4" t="str">
        <f>IFERROR(VLOOKUP($D97,'02 Status'!$A:$R,7,FALSE),"")</f>
        <v/>
      </c>
      <c r="H97" s="4" t="str">
        <f>IFERROR(VLOOKUP($D97,'02 Status'!$A:$R,8,FALSE),"")</f>
        <v/>
      </c>
      <c r="I97" s="4" t="str">
        <f>IFERROR(VLOOKUP($D97,'02 Status'!$A:$R,9,FALSE),"")</f>
        <v/>
      </c>
      <c r="J97" s="4" t="str">
        <f>IFERROR(VLOOKUP($D97,'02 Status'!$A:$R,10,FALSE),"")</f>
        <v/>
      </c>
      <c r="K97" s="4" t="str">
        <f>IFERROR(VLOOKUP($D97,'02 Status'!$A:$R,11,FALSE),"")</f>
        <v/>
      </c>
      <c r="L97" s="4" t="str">
        <f>IFERROR(VLOOKUP($D97,'02 Status'!$A:$R,12,FALSE),"")</f>
        <v/>
      </c>
      <c r="M97" s="4" t="str">
        <f>IFERROR(VLOOKUP($D97,'02 Status'!$A:$R,13,FALSE),"")</f>
        <v/>
      </c>
      <c r="N97" s="4" t="str">
        <f>IFERROR(VLOOKUP($D97,'02 Status'!$A:$R,14,FALSE),"")</f>
        <v/>
      </c>
      <c r="O97" s="4" t="str">
        <f>IFERROR(VLOOKUP($D97,'02 Status'!$A:$R,16,FALSE),"")</f>
        <v/>
      </c>
      <c r="P97" s="6"/>
      <c r="Q97" s="4"/>
      <c r="R97" s="4">
        <f t="shared" si="16"/>
        <v>25</v>
      </c>
      <c r="S97" s="4"/>
      <c r="T97" s="4"/>
      <c r="U97" s="4"/>
      <c r="V97" s="4"/>
      <c r="W97" s="4"/>
      <c r="X97" s="4">
        <f t="shared" si="17"/>
        <v>0</v>
      </c>
      <c r="Y97" s="4" t="str">
        <f t="shared" si="18"/>
        <v>Crítica</v>
      </c>
      <c r="Z97" s="4">
        <f t="shared" si="19"/>
        <v>25</v>
      </c>
      <c r="AA97" s="4">
        <f t="shared" si="20"/>
        <v>100</v>
      </c>
      <c r="AB97" s="4">
        <f t="shared" si="21"/>
        <v>40</v>
      </c>
      <c r="AC97" s="4" t="str">
        <f t="shared" si="22"/>
        <v>Baixa</v>
      </c>
      <c r="AD97" s="4" t="str">
        <f t="shared" si="23"/>
        <v>Não</v>
      </c>
      <c r="AE97" s="4"/>
    </row>
    <row r="98" spans="1:31">
      <c r="A98" s="4"/>
      <c r="B98" s="4"/>
      <c r="C98" s="4"/>
      <c r="D98" s="4"/>
      <c r="E98" s="4" t="str">
        <f>IFERROR(VLOOKUP($D98,'02 Status'!$A:$R,4,FALSE),"")</f>
        <v/>
      </c>
      <c r="F98" s="4" t="str">
        <f>IFERROR(VLOOKUP($D98,'02 Status'!$A:$R,3,FALSE),"")</f>
        <v/>
      </c>
      <c r="G98" s="4" t="str">
        <f>IFERROR(VLOOKUP($D98,'02 Status'!$A:$R,7,FALSE),"")</f>
        <v/>
      </c>
      <c r="H98" s="4" t="str">
        <f>IFERROR(VLOOKUP($D98,'02 Status'!$A:$R,8,FALSE),"")</f>
        <v/>
      </c>
      <c r="I98" s="4" t="str">
        <f>IFERROR(VLOOKUP($D98,'02 Status'!$A:$R,9,FALSE),"")</f>
        <v/>
      </c>
      <c r="J98" s="4" t="str">
        <f>IFERROR(VLOOKUP($D98,'02 Status'!$A:$R,10,FALSE),"")</f>
        <v/>
      </c>
      <c r="K98" s="4" t="str">
        <f>IFERROR(VLOOKUP($D98,'02 Status'!$A:$R,11,FALSE),"")</f>
        <v/>
      </c>
      <c r="L98" s="4" t="str">
        <f>IFERROR(VLOOKUP($D98,'02 Status'!$A:$R,12,FALSE),"")</f>
        <v/>
      </c>
      <c r="M98" s="4" t="str">
        <f>IFERROR(VLOOKUP($D98,'02 Status'!$A:$R,13,FALSE),"")</f>
        <v/>
      </c>
      <c r="N98" s="4" t="str">
        <f>IFERROR(VLOOKUP($D98,'02 Status'!$A:$R,14,FALSE),"")</f>
        <v/>
      </c>
      <c r="O98" s="4" t="str">
        <f>IFERROR(VLOOKUP($D98,'02 Status'!$A:$R,16,FALSE),"")</f>
        <v/>
      </c>
      <c r="P98" s="6"/>
      <c r="Q98" s="4"/>
      <c r="R98" s="4">
        <f t="shared" si="16"/>
        <v>25</v>
      </c>
      <c r="S98" s="4"/>
      <c r="T98" s="4"/>
      <c r="U98" s="4"/>
      <c r="V98" s="4"/>
      <c r="W98" s="4"/>
      <c r="X98" s="4">
        <f t="shared" si="17"/>
        <v>0</v>
      </c>
      <c r="Y98" s="4" t="str">
        <f t="shared" si="18"/>
        <v>Crítica</v>
      </c>
      <c r="Z98" s="4">
        <f t="shared" si="19"/>
        <v>25</v>
      </c>
      <c r="AA98" s="4">
        <f t="shared" si="20"/>
        <v>100</v>
      </c>
      <c r="AB98" s="4">
        <f t="shared" si="21"/>
        <v>40</v>
      </c>
      <c r="AC98" s="4" t="str">
        <f t="shared" si="22"/>
        <v>Baixa</v>
      </c>
      <c r="AD98" s="4" t="str">
        <f t="shared" si="23"/>
        <v>Não</v>
      </c>
      <c r="AE98" s="4"/>
    </row>
    <row r="99" spans="1:31">
      <c r="A99" s="4"/>
      <c r="B99" s="4"/>
      <c r="C99" s="4"/>
      <c r="D99" s="4"/>
      <c r="E99" s="4" t="str">
        <f>IFERROR(VLOOKUP($D99,'02 Status'!$A:$R,4,FALSE),"")</f>
        <v/>
      </c>
      <c r="F99" s="4" t="str">
        <f>IFERROR(VLOOKUP($D99,'02 Status'!$A:$R,3,FALSE),"")</f>
        <v/>
      </c>
      <c r="G99" s="4" t="str">
        <f>IFERROR(VLOOKUP($D99,'02 Status'!$A:$R,7,FALSE),"")</f>
        <v/>
      </c>
      <c r="H99" s="4" t="str">
        <f>IFERROR(VLOOKUP($D99,'02 Status'!$A:$R,8,FALSE),"")</f>
        <v/>
      </c>
      <c r="I99" s="4" t="str">
        <f>IFERROR(VLOOKUP($D99,'02 Status'!$A:$R,9,FALSE),"")</f>
        <v/>
      </c>
      <c r="J99" s="4" t="str">
        <f>IFERROR(VLOOKUP($D99,'02 Status'!$A:$R,10,FALSE),"")</f>
        <v/>
      </c>
      <c r="K99" s="4" t="str">
        <f>IFERROR(VLOOKUP($D99,'02 Status'!$A:$R,11,FALSE),"")</f>
        <v/>
      </c>
      <c r="L99" s="4" t="str">
        <f>IFERROR(VLOOKUP($D99,'02 Status'!$A:$R,12,FALSE),"")</f>
        <v/>
      </c>
      <c r="M99" s="4" t="str">
        <f>IFERROR(VLOOKUP($D99,'02 Status'!$A:$R,13,FALSE),"")</f>
        <v/>
      </c>
      <c r="N99" s="4" t="str">
        <f>IFERROR(VLOOKUP($D99,'02 Status'!$A:$R,14,FALSE),"")</f>
        <v/>
      </c>
      <c r="O99" s="4" t="str">
        <f>IFERROR(VLOOKUP($D99,'02 Status'!$A:$R,16,FALSE),"")</f>
        <v/>
      </c>
      <c r="P99" s="6"/>
      <c r="Q99" s="4"/>
      <c r="R99" s="4">
        <f t="shared" si="16"/>
        <v>25</v>
      </c>
      <c r="S99" s="4"/>
      <c r="T99" s="4"/>
      <c r="U99" s="4"/>
      <c r="V99" s="4"/>
      <c r="W99" s="4"/>
      <c r="X99" s="4">
        <f t="shared" si="17"/>
        <v>0</v>
      </c>
      <c r="Y99" s="4" t="str">
        <f t="shared" si="18"/>
        <v>Crítica</v>
      </c>
      <c r="Z99" s="4">
        <f t="shared" si="19"/>
        <v>25</v>
      </c>
      <c r="AA99" s="4">
        <f t="shared" si="20"/>
        <v>100</v>
      </c>
      <c r="AB99" s="4">
        <f t="shared" si="21"/>
        <v>40</v>
      </c>
      <c r="AC99" s="4" t="str">
        <f t="shared" si="22"/>
        <v>Baixa</v>
      </c>
      <c r="AD99" s="4" t="str">
        <f t="shared" si="23"/>
        <v>Não</v>
      </c>
      <c r="AE99" s="4"/>
    </row>
    <row r="100" spans="1:31">
      <c r="A100" s="4"/>
      <c r="B100" s="4"/>
      <c r="C100" s="4"/>
      <c r="D100" s="4"/>
      <c r="E100" s="4" t="str">
        <f>IFERROR(VLOOKUP($D100,'02 Status'!$A:$R,4,FALSE),"")</f>
        <v/>
      </c>
      <c r="F100" s="4" t="str">
        <f>IFERROR(VLOOKUP($D100,'02 Status'!$A:$R,3,FALSE),"")</f>
        <v/>
      </c>
      <c r="G100" s="4" t="str">
        <f>IFERROR(VLOOKUP($D100,'02 Status'!$A:$R,7,FALSE),"")</f>
        <v/>
      </c>
      <c r="H100" s="4" t="str">
        <f>IFERROR(VLOOKUP($D100,'02 Status'!$A:$R,8,FALSE),"")</f>
        <v/>
      </c>
      <c r="I100" s="4" t="str">
        <f>IFERROR(VLOOKUP($D100,'02 Status'!$A:$R,9,FALSE),"")</f>
        <v/>
      </c>
      <c r="J100" s="4" t="str">
        <f>IFERROR(VLOOKUP($D100,'02 Status'!$A:$R,10,FALSE),"")</f>
        <v/>
      </c>
      <c r="K100" s="4" t="str">
        <f>IFERROR(VLOOKUP($D100,'02 Status'!$A:$R,11,FALSE),"")</f>
        <v/>
      </c>
      <c r="L100" s="4" t="str">
        <f>IFERROR(VLOOKUP($D100,'02 Status'!$A:$R,12,FALSE),"")</f>
        <v/>
      </c>
      <c r="M100" s="4" t="str">
        <f>IFERROR(VLOOKUP($D100,'02 Status'!$A:$R,13,FALSE),"")</f>
        <v/>
      </c>
      <c r="N100" s="4" t="str">
        <f>IFERROR(VLOOKUP($D100,'02 Status'!$A:$R,14,FALSE),"")</f>
        <v/>
      </c>
      <c r="O100" s="4" t="str">
        <f>IFERROR(VLOOKUP($D100,'02 Status'!$A:$R,16,FALSE),"")</f>
        <v/>
      </c>
      <c r="P100" s="6"/>
      <c r="Q100" s="4"/>
      <c r="R100" s="4">
        <f t="shared" si="16"/>
        <v>25</v>
      </c>
      <c r="S100" s="4"/>
      <c r="T100" s="4"/>
      <c r="U100" s="4"/>
      <c r="V100" s="4"/>
      <c r="W100" s="4"/>
      <c r="X100" s="4">
        <f t="shared" si="17"/>
        <v>0</v>
      </c>
      <c r="Y100" s="4" t="str">
        <f t="shared" si="18"/>
        <v>Crítica</v>
      </c>
      <c r="Z100" s="4">
        <f t="shared" si="19"/>
        <v>25</v>
      </c>
      <c r="AA100" s="4">
        <f t="shared" si="20"/>
        <v>100</v>
      </c>
      <c r="AB100" s="4">
        <f t="shared" si="21"/>
        <v>40</v>
      </c>
      <c r="AC100" s="4" t="str">
        <f t="shared" si="22"/>
        <v>Baixa</v>
      </c>
      <c r="AD100" s="4" t="str">
        <f t="shared" si="23"/>
        <v>Não</v>
      </c>
      <c r="AE100" s="4"/>
    </row>
    <row r="101" spans="1:31">
      <c r="A101" s="4"/>
      <c r="B101" s="4"/>
      <c r="C101" s="4"/>
      <c r="D101" s="4"/>
      <c r="E101" s="4" t="str">
        <f>IFERROR(VLOOKUP($D101,'02 Status'!$A:$R,4,FALSE),"")</f>
        <v/>
      </c>
      <c r="F101" s="4" t="str">
        <f>IFERROR(VLOOKUP($D101,'02 Status'!$A:$R,3,FALSE),"")</f>
        <v/>
      </c>
      <c r="G101" s="4" t="str">
        <f>IFERROR(VLOOKUP($D101,'02 Status'!$A:$R,7,FALSE),"")</f>
        <v/>
      </c>
      <c r="H101" s="4" t="str">
        <f>IFERROR(VLOOKUP($D101,'02 Status'!$A:$R,8,FALSE),"")</f>
        <v/>
      </c>
      <c r="I101" s="4" t="str">
        <f>IFERROR(VLOOKUP($D101,'02 Status'!$A:$R,9,FALSE),"")</f>
        <v/>
      </c>
      <c r="J101" s="4" t="str">
        <f>IFERROR(VLOOKUP($D101,'02 Status'!$A:$R,10,FALSE),"")</f>
        <v/>
      </c>
      <c r="K101" s="4" t="str">
        <f>IFERROR(VLOOKUP($D101,'02 Status'!$A:$R,11,FALSE),"")</f>
        <v/>
      </c>
      <c r="L101" s="4" t="str">
        <f>IFERROR(VLOOKUP($D101,'02 Status'!$A:$R,12,FALSE),"")</f>
        <v/>
      </c>
      <c r="M101" s="4" t="str">
        <f>IFERROR(VLOOKUP($D101,'02 Status'!$A:$R,13,FALSE),"")</f>
        <v/>
      </c>
      <c r="N101" s="4" t="str">
        <f>IFERROR(VLOOKUP($D101,'02 Status'!$A:$R,14,FALSE),"")</f>
        <v/>
      </c>
      <c r="O101" s="4" t="str">
        <f>IFERROR(VLOOKUP($D101,'02 Status'!$A:$R,16,FALSE),"")</f>
        <v/>
      </c>
      <c r="P101" s="6"/>
      <c r="Q101" s="4"/>
      <c r="R101" s="4">
        <f t="shared" ref="R101:R132" si="24">IF(Q101="Cliente respondeu e aguarda vendedor",100,IF(Q101="Ação vencida",95,IF(Q101="Ação hoje",90,IF(Q101="Ação amanhã",75,IF(Q101="Até 3 dias",55,25)))))</f>
        <v>25</v>
      </c>
      <c r="S101" s="4"/>
      <c r="T101" s="4"/>
      <c r="U101" s="4"/>
      <c r="V101" s="4"/>
      <c r="W101" s="4"/>
      <c r="X101" s="4">
        <f t="shared" ref="X101:X132" si="25">SUM(S101:W101)</f>
        <v>0</v>
      </c>
      <c r="Y101" s="4" t="str">
        <f t="shared" ref="Y101:Y132" si="26">IF(X101&gt;=90,"Excelente",IF(X101&gt;=75,"Boa",IF(X101&gt;=50,"Atenção","Crítica")))</f>
        <v>Crítica</v>
      </c>
      <c r="Z101" s="4">
        <f t="shared" si="19"/>
        <v>25</v>
      </c>
      <c r="AA101" s="4">
        <f t="shared" si="20"/>
        <v>100</v>
      </c>
      <c r="AB101" s="4">
        <f t="shared" ref="AB101:AB132" si="27">ROUND(0.45*R101+0.35*Z101+0.2*AA101,0)</f>
        <v>40</v>
      </c>
      <c r="AC101" s="4" t="str">
        <f t="shared" ref="AC101:AC132" si="28">IF(AB101&gt;=85,"Máxima",IF(AB101&gt;=70,"Alta",IF(AB101&gt;=50,"Média","Baixa")))</f>
        <v>Baixa</v>
      </c>
      <c r="AD101" s="4" t="str">
        <f t="shared" si="23"/>
        <v>Não</v>
      </c>
      <c r="AE101" s="4"/>
    </row>
    <row r="102" spans="1:31">
      <c r="A102" s="4"/>
      <c r="B102" s="4"/>
      <c r="C102" s="4"/>
      <c r="D102" s="4"/>
      <c r="E102" s="4" t="str">
        <f>IFERROR(VLOOKUP($D102,'02 Status'!$A:$R,4,FALSE),"")</f>
        <v/>
      </c>
      <c r="F102" s="4" t="str">
        <f>IFERROR(VLOOKUP($D102,'02 Status'!$A:$R,3,FALSE),"")</f>
        <v/>
      </c>
      <c r="G102" s="4" t="str">
        <f>IFERROR(VLOOKUP($D102,'02 Status'!$A:$R,7,FALSE),"")</f>
        <v/>
      </c>
      <c r="H102" s="4" t="str">
        <f>IFERROR(VLOOKUP($D102,'02 Status'!$A:$R,8,FALSE),"")</f>
        <v/>
      </c>
      <c r="I102" s="4" t="str">
        <f>IFERROR(VLOOKUP($D102,'02 Status'!$A:$R,9,FALSE),"")</f>
        <v/>
      </c>
      <c r="J102" s="4" t="str">
        <f>IFERROR(VLOOKUP($D102,'02 Status'!$A:$R,10,FALSE),"")</f>
        <v/>
      </c>
      <c r="K102" s="4" t="str">
        <f>IFERROR(VLOOKUP($D102,'02 Status'!$A:$R,11,FALSE),"")</f>
        <v/>
      </c>
      <c r="L102" s="4" t="str">
        <f>IFERROR(VLOOKUP($D102,'02 Status'!$A:$R,12,FALSE),"")</f>
        <v/>
      </c>
      <c r="M102" s="4" t="str">
        <f>IFERROR(VLOOKUP($D102,'02 Status'!$A:$R,13,FALSE),"")</f>
        <v/>
      </c>
      <c r="N102" s="4" t="str">
        <f>IFERROR(VLOOKUP($D102,'02 Status'!$A:$R,14,FALSE),"")</f>
        <v/>
      </c>
      <c r="O102" s="4" t="str">
        <f>IFERROR(VLOOKUP($D102,'02 Status'!$A:$R,16,FALSE),"")</f>
        <v/>
      </c>
      <c r="P102" s="6"/>
      <c r="Q102" s="4"/>
      <c r="R102" s="4">
        <f t="shared" si="24"/>
        <v>25</v>
      </c>
      <c r="S102" s="4"/>
      <c r="T102" s="4"/>
      <c r="U102" s="4"/>
      <c r="V102" s="4"/>
      <c r="W102" s="4"/>
      <c r="X102" s="4">
        <f t="shared" si="25"/>
        <v>0</v>
      </c>
      <c r="Y102" s="4" t="str">
        <f t="shared" si="26"/>
        <v>Crítica</v>
      </c>
      <c r="Z102" s="4">
        <f t="shared" si="19"/>
        <v>25</v>
      </c>
      <c r="AA102" s="4">
        <f t="shared" si="20"/>
        <v>100</v>
      </c>
      <c r="AB102" s="4">
        <f t="shared" si="27"/>
        <v>40</v>
      </c>
      <c r="AC102" s="4" t="str">
        <f t="shared" si="28"/>
        <v>Baixa</v>
      </c>
      <c r="AD102" s="4" t="str">
        <f t="shared" si="23"/>
        <v>Não</v>
      </c>
      <c r="AE102" s="4"/>
    </row>
    <row r="103" spans="1:31">
      <c r="A103" s="4"/>
      <c r="B103" s="4"/>
      <c r="C103" s="4"/>
      <c r="D103" s="4"/>
      <c r="E103" s="4" t="str">
        <f>IFERROR(VLOOKUP($D103,'02 Status'!$A:$R,4,FALSE),"")</f>
        <v/>
      </c>
      <c r="F103" s="4" t="str">
        <f>IFERROR(VLOOKUP($D103,'02 Status'!$A:$R,3,FALSE),"")</f>
        <v/>
      </c>
      <c r="G103" s="4" t="str">
        <f>IFERROR(VLOOKUP($D103,'02 Status'!$A:$R,7,FALSE),"")</f>
        <v/>
      </c>
      <c r="H103" s="4" t="str">
        <f>IFERROR(VLOOKUP($D103,'02 Status'!$A:$R,8,FALSE),"")</f>
        <v/>
      </c>
      <c r="I103" s="4" t="str">
        <f>IFERROR(VLOOKUP($D103,'02 Status'!$A:$R,9,FALSE),"")</f>
        <v/>
      </c>
      <c r="J103" s="4" t="str">
        <f>IFERROR(VLOOKUP($D103,'02 Status'!$A:$R,10,FALSE),"")</f>
        <v/>
      </c>
      <c r="K103" s="4" t="str">
        <f>IFERROR(VLOOKUP($D103,'02 Status'!$A:$R,11,FALSE),"")</f>
        <v/>
      </c>
      <c r="L103" s="4" t="str">
        <f>IFERROR(VLOOKUP($D103,'02 Status'!$A:$R,12,FALSE),"")</f>
        <v/>
      </c>
      <c r="M103" s="4" t="str">
        <f>IFERROR(VLOOKUP($D103,'02 Status'!$A:$R,13,FALSE),"")</f>
        <v/>
      </c>
      <c r="N103" s="4" t="str">
        <f>IFERROR(VLOOKUP($D103,'02 Status'!$A:$R,14,FALSE),"")</f>
        <v/>
      </c>
      <c r="O103" s="4" t="str">
        <f>IFERROR(VLOOKUP($D103,'02 Status'!$A:$R,16,FALSE),"")</f>
        <v/>
      </c>
      <c r="P103" s="6"/>
      <c r="Q103" s="4"/>
      <c r="R103" s="4">
        <f t="shared" si="24"/>
        <v>25</v>
      </c>
      <c r="S103" s="4"/>
      <c r="T103" s="4"/>
      <c r="U103" s="4"/>
      <c r="V103" s="4"/>
      <c r="W103" s="4"/>
      <c r="X103" s="4">
        <f t="shared" si="25"/>
        <v>0</v>
      </c>
      <c r="Y103" s="4" t="str">
        <f t="shared" si="26"/>
        <v>Crítica</v>
      </c>
      <c r="Z103" s="4">
        <f t="shared" si="19"/>
        <v>25</v>
      </c>
      <c r="AA103" s="4">
        <f t="shared" si="20"/>
        <v>100</v>
      </c>
      <c r="AB103" s="4">
        <f t="shared" si="27"/>
        <v>40</v>
      </c>
      <c r="AC103" s="4" t="str">
        <f t="shared" si="28"/>
        <v>Baixa</v>
      </c>
      <c r="AD103" s="4" t="str">
        <f t="shared" si="23"/>
        <v>Não</v>
      </c>
      <c r="AE103" s="4"/>
    </row>
    <row r="104" spans="1:31">
      <c r="A104" s="4"/>
      <c r="B104" s="4"/>
      <c r="C104" s="4"/>
      <c r="D104" s="4"/>
      <c r="E104" s="4" t="str">
        <f>IFERROR(VLOOKUP($D104,'02 Status'!$A:$R,4,FALSE),"")</f>
        <v/>
      </c>
      <c r="F104" s="4" t="str">
        <f>IFERROR(VLOOKUP($D104,'02 Status'!$A:$R,3,FALSE),"")</f>
        <v/>
      </c>
      <c r="G104" s="4" t="str">
        <f>IFERROR(VLOOKUP($D104,'02 Status'!$A:$R,7,FALSE),"")</f>
        <v/>
      </c>
      <c r="H104" s="4" t="str">
        <f>IFERROR(VLOOKUP($D104,'02 Status'!$A:$R,8,FALSE),"")</f>
        <v/>
      </c>
      <c r="I104" s="4" t="str">
        <f>IFERROR(VLOOKUP($D104,'02 Status'!$A:$R,9,FALSE),"")</f>
        <v/>
      </c>
      <c r="J104" s="4" t="str">
        <f>IFERROR(VLOOKUP($D104,'02 Status'!$A:$R,10,FALSE),"")</f>
        <v/>
      </c>
      <c r="K104" s="4" t="str">
        <f>IFERROR(VLOOKUP($D104,'02 Status'!$A:$R,11,FALSE),"")</f>
        <v/>
      </c>
      <c r="L104" s="4" t="str">
        <f>IFERROR(VLOOKUP($D104,'02 Status'!$A:$R,12,FALSE),"")</f>
        <v/>
      </c>
      <c r="M104" s="4" t="str">
        <f>IFERROR(VLOOKUP($D104,'02 Status'!$A:$R,13,FALSE),"")</f>
        <v/>
      </c>
      <c r="N104" s="4" t="str">
        <f>IFERROR(VLOOKUP($D104,'02 Status'!$A:$R,14,FALSE),"")</f>
        <v/>
      </c>
      <c r="O104" s="4" t="str">
        <f>IFERROR(VLOOKUP($D104,'02 Status'!$A:$R,16,FALSE),"")</f>
        <v/>
      </c>
      <c r="P104" s="6"/>
      <c r="Q104" s="4"/>
      <c r="R104" s="4">
        <f t="shared" si="24"/>
        <v>25</v>
      </c>
      <c r="S104" s="4"/>
      <c r="T104" s="4"/>
      <c r="U104" s="4"/>
      <c r="V104" s="4"/>
      <c r="W104" s="4"/>
      <c r="X104" s="4">
        <f t="shared" si="25"/>
        <v>0</v>
      </c>
      <c r="Y104" s="4" t="str">
        <f t="shared" si="26"/>
        <v>Crítica</v>
      </c>
      <c r="Z104" s="4">
        <f t="shared" si="19"/>
        <v>25</v>
      </c>
      <c r="AA104" s="4">
        <f t="shared" si="20"/>
        <v>100</v>
      </c>
      <c r="AB104" s="4">
        <f t="shared" si="27"/>
        <v>40</v>
      </c>
      <c r="AC104" s="4" t="str">
        <f t="shared" si="28"/>
        <v>Baixa</v>
      </c>
      <c r="AD104" s="4" t="str">
        <f t="shared" si="23"/>
        <v>Não</v>
      </c>
      <c r="AE104" s="4"/>
    </row>
  </sheetData>
  <mergeCells count="2">
    <mergeCell ref="A1:AE1"/>
    <mergeCell ref="A2:AE2"/>
  </mergeCells>
  <conditionalFormatting sqref="X5:X104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B5:AB104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AC5:AC104">
    <cfRule type="expression" dxfId="0" priority="3">
      <formula>AC5="Máxima"</formula>
    </cfRule>
  </conditionalFormatting>
  <dataValidations count="1">
    <dataValidation type="list" sqref="S5:W104" xr:uid="{00000000-0002-0000-0A00-000003000000}">
      <formula1>"0,8,10,15,20,25,30"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A00-000000000000}">
          <x14:formula1>
            <xm:f>Listas!$B$2:$B$4</xm:f>
          </x14:formula1>
          <xm:sqref>B5:B104</xm:sqref>
        </x14:dataValidation>
        <x14:dataValidation type="list" xr:uid="{00000000-0002-0000-0A00-000001000000}">
          <x14:formula1>
            <xm:f>Listas!$A$2:$A$87</xm:f>
          </x14:formula1>
          <xm:sqref>D5:D104</xm:sqref>
        </x14:dataValidation>
        <x14:dataValidation type="list" xr:uid="{00000000-0002-0000-0A00-000002000000}">
          <x14:formula1>
            <xm:f>Listas!$C$2:$C$7</xm:f>
          </x14:formula1>
          <xm:sqref>Q5:Q104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1"/>
  <sheetViews>
    <sheetView workbookViewId="0">
      <selection sqref="A1:E1"/>
    </sheetView>
  </sheetViews>
  <sheetFormatPr defaultRowHeight="14"/>
  <cols>
    <col min="1" max="1" width="24" customWidth="1"/>
    <col min="2" max="2" width="38" customWidth="1"/>
    <col min="3" max="3" width="44" customWidth="1"/>
    <col min="4" max="4" width="56" customWidth="1"/>
    <col min="5" max="5" width="24" customWidth="1"/>
  </cols>
  <sheetData>
    <row r="1" spans="1:5" ht="23">
      <c r="A1" s="7" t="s">
        <v>1518</v>
      </c>
      <c r="B1" s="8"/>
      <c r="C1" s="8"/>
      <c r="D1" s="8"/>
      <c r="E1" s="8"/>
    </row>
    <row r="2" spans="1:5">
      <c r="A2" s="9" t="s">
        <v>1519</v>
      </c>
      <c r="B2" s="8"/>
      <c r="C2" s="8"/>
      <c r="D2" s="8"/>
      <c r="E2" s="8"/>
    </row>
    <row r="3" spans="1:5" ht="22.65" customHeight="1">
      <c r="A3" s="2" t="s">
        <v>1520</v>
      </c>
      <c r="B3" s="2" t="s">
        <v>1521</v>
      </c>
      <c r="C3" s="2" t="s">
        <v>1522</v>
      </c>
      <c r="D3" s="2" t="s">
        <v>1523</v>
      </c>
      <c r="E3" s="2" t="s">
        <v>1524</v>
      </c>
    </row>
    <row r="4" spans="1:5">
      <c r="A4" s="4" t="s">
        <v>1525</v>
      </c>
      <c r="B4" s="4" t="s">
        <v>1526</v>
      </c>
      <c r="C4" s="4" t="s">
        <v>1527</v>
      </c>
      <c r="D4" s="4" t="s">
        <v>1528</v>
      </c>
      <c r="E4" s="4" t="s">
        <v>1529</v>
      </c>
    </row>
    <row r="5" spans="1:5">
      <c r="A5" s="4" t="s">
        <v>1525</v>
      </c>
      <c r="B5" s="4" t="s">
        <v>1530</v>
      </c>
      <c r="C5" s="4" t="s">
        <v>1531</v>
      </c>
      <c r="D5" s="4" t="s">
        <v>1532</v>
      </c>
      <c r="E5" s="4" t="s">
        <v>1533</v>
      </c>
    </row>
    <row r="6" spans="1:5" ht="28">
      <c r="A6" s="4" t="s">
        <v>1525</v>
      </c>
      <c r="B6" s="4" t="s">
        <v>1534</v>
      </c>
      <c r="C6" s="4" t="s">
        <v>1535</v>
      </c>
      <c r="D6" s="4" t="s">
        <v>1536</v>
      </c>
      <c r="E6" s="4" t="s">
        <v>1533</v>
      </c>
    </row>
    <row r="7" spans="1:5" ht="28">
      <c r="A7" s="4" t="s">
        <v>1525</v>
      </c>
      <c r="B7" s="4" t="s">
        <v>1537</v>
      </c>
      <c r="C7" s="4" t="s">
        <v>1538</v>
      </c>
      <c r="D7" s="4" t="s">
        <v>1539</v>
      </c>
      <c r="E7" s="4" t="s">
        <v>1533</v>
      </c>
    </row>
    <row r="8" spans="1:5">
      <c r="A8" s="4" t="s">
        <v>1525</v>
      </c>
      <c r="B8" s="4" t="s">
        <v>1540</v>
      </c>
      <c r="C8" s="4" t="s">
        <v>1541</v>
      </c>
      <c r="D8" s="4" t="s">
        <v>1542</v>
      </c>
      <c r="E8" s="4" t="s">
        <v>1543</v>
      </c>
    </row>
    <row r="9" spans="1:5">
      <c r="A9" s="4" t="s">
        <v>1525</v>
      </c>
      <c r="B9" s="4" t="s">
        <v>1544</v>
      </c>
      <c r="C9" s="4" t="s">
        <v>1545</v>
      </c>
      <c r="D9" s="4" t="s">
        <v>1546</v>
      </c>
      <c r="E9" s="4" t="s">
        <v>1533</v>
      </c>
    </row>
    <row r="10" spans="1:5">
      <c r="A10" s="4" t="s">
        <v>1525</v>
      </c>
      <c r="B10" s="4" t="s">
        <v>1547</v>
      </c>
      <c r="C10" s="4" t="s">
        <v>1548</v>
      </c>
      <c r="D10" s="4" t="s">
        <v>1549</v>
      </c>
      <c r="E10" s="4" t="s">
        <v>1533</v>
      </c>
    </row>
    <row r="11" spans="1:5">
      <c r="A11" s="4" t="s">
        <v>1525</v>
      </c>
      <c r="B11" s="4" t="s">
        <v>1550</v>
      </c>
      <c r="C11" s="4" t="s">
        <v>1551</v>
      </c>
      <c r="D11" s="4" t="s">
        <v>1552</v>
      </c>
      <c r="E11" s="4" t="s">
        <v>1533</v>
      </c>
    </row>
    <row r="12" spans="1:5">
      <c r="A12" s="4" t="s">
        <v>271</v>
      </c>
      <c r="B12" s="4" t="s">
        <v>1553</v>
      </c>
      <c r="C12" s="4" t="s">
        <v>1554</v>
      </c>
      <c r="D12" s="4" t="s">
        <v>1555</v>
      </c>
      <c r="E12" s="4" t="s">
        <v>679</v>
      </c>
    </row>
    <row r="13" spans="1:5">
      <c r="A13" s="4" t="s">
        <v>271</v>
      </c>
      <c r="B13" s="4" t="s">
        <v>1556</v>
      </c>
      <c r="C13" s="4" t="s">
        <v>1557</v>
      </c>
      <c r="D13" s="4" t="s">
        <v>1558</v>
      </c>
      <c r="E13" s="4" t="s">
        <v>679</v>
      </c>
    </row>
    <row r="14" spans="1:5">
      <c r="A14" s="4" t="s">
        <v>271</v>
      </c>
      <c r="B14" s="4" t="s">
        <v>1466</v>
      </c>
      <c r="C14" s="4" t="s">
        <v>1559</v>
      </c>
      <c r="D14" s="4" t="s">
        <v>1560</v>
      </c>
      <c r="E14" s="4" t="s">
        <v>679</v>
      </c>
    </row>
    <row r="15" spans="1:5">
      <c r="A15" s="4" t="s">
        <v>271</v>
      </c>
      <c r="B15" s="4" t="s">
        <v>1561</v>
      </c>
      <c r="C15" s="4" t="s">
        <v>1562</v>
      </c>
      <c r="D15" s="4" t="s">
        <v>1563</v>
      </c>
      <c r="E15" s="4" t="s">
        <v>679</v>
      </c>
    </row>
    <row r="16" spans="1:5">
      <c r="A16" s="4" t="s">
        <v>271</v>
      </c>
      <c r="B16" s="4" t="s">
        <v>1564</v>
      </c>
      <c r="C16" s="4" t="s">
        <v>1565</v>
      </c>
      <c r="D16" s="4" t="s">
        <v>1566</v>
      </c>
      <c r="E16" s="4" t="s">
        <v>1533</v>
      </c>
    </row>
    <row r="17" spans="1:5">
      <c r="A17" s="4" t="s">
        <v>1567</v>
      </c>
      <c r="B17" s="4" t="s">
        <v>1568</v>
      </c>
      <c r="C17" s="4" t="s">
        <v>1569</v>
      </c>
      <c r="D17" s="4" t="s">
        <v>1570</v>
      </c>
      <c r="E17" s="4" t="s">
        <v>1533</v>
      </c>
    </row>
    <row r="18" spans="1:5">
      <c r="A18" s="4" t="s">
        <v>1567</v>
      </c>
      <c r="B18" s="4" t="s">
        <v>1458</v>
      </c>
      <c r="C18" s="4" t="s">
        <v>1571</v>
      </c>
      <c r="D18" s="4" t="s">
        <v>1572</v>
      </c>
      <c r="E18" s="4" t="s">
        <v>1573</v>
      </c>
    </row>
    <row r="19" spans="1:5">
      <c r="A19" s="4" t="s">
        <v>1567</v>
      </c>
      <c r="B19" s="4" t="s">
        <v>1466</v>
      </c>
      <c r="C19" s="4" t="s">
        <v>1574</v>
      </c>
      <c r="D19" s="4" t="s">
        <v>1575</v>
      </c>
      <c r="E19" s="4" t="s">
        <v>1576</v>
      </c>
    </row>
    <row r="20" spans="1:5">
      <c r="A20" s="4" t="s">
        <v>1577</v>
      </c>
      <c r="B20" s="4" t="s">
        <v>1578</v>
      </c>
      <c r="C20" s="4" t="s">
        <v>1579</v>
      </c>
      <c r="D20" s="4" t="s">
        <v>1580</v>
      </c>
      <c r="E20" s="4" t="s">
        <v>1533</v>
      </c>
    </row>
    <row r="21" spans="1:5">
      <c r="A21" s="4" t="s">
        <v>1577</v>
      </c>
      <c r="B21" s="4" t="s">
        <v>1581</v>
      </c>
      <c r="C21" s="4" t="s">
        <v>1582</v>
      </c>
      <c r="D21" s="4" t="s">
        <v>1583</v>
      </c>
      <c r="E21" s="4" t="s">
        <v>1533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8"/>
  <sheetViews>
    <sheetView tabSelected="1" workbookViewId="0">
      <selection sqref="A1:G1"/>
    </sheetView>
  </sheetViews>
  <sheetFormatPr defaultRowHeight="14"/>
  <cols>
    <col min="1" max="1" width="28" customWidth="1"/>
    <col min="2" max="2" width="44" customWidth="1"/>
    <col min="3" max="3" width="40" customWidth="1"/>
    <col min="4" max="4" width="42" customWidth="1"/>
    <col min="5" max="5" width="22" customWidth="1"/>
    <col min="6" max="6" width="42" customWidth="1"/>
    <col min="7" max="7" width="56" customWidth="1"/>
  </cols>
  <sheetData>
    <row r="1" spans="1:7" ht="23">
      <c r="A1" s="7" t="s">
        <v>1584</v>
      </c>
      <c r="B1" s="8"/>
      <c r="C1" s="8"/>
      <c r="D1" s="8"/>
      <c r="E1" s="8"/>
      <c r="F1" s="8"/>
      <c r="G1" s="8"/>
    </row>
    <row r="2" spans="1:7">
      <c r="A2" s="9" t="s">
        <v>1585</v>
      </c>
      <c r="B2" s="8"/>
      <c r="C2" s="8"/>
      <c r="D2" s="8"/>
      <c r="E2" s="8"/>
      <c r="F2" s="8"/>
      <c r="G2" s="8"/>
    </row>
    <row r="3" spans="1:7" ht="22.65" customHeight="1">
      <c r="A3" s="2" t="s">
        <v>1586</v>
      </c>
      <c r="B3" s="2" t="s">
        <v>1141</v>
      </c>
      <c r="C3" s="2" t="s">
        <v>1587</v>
      </c>
      <c r="D3" s="2" t="s">
        <v>1588</v>
      </c>
      <c r="E3" s="2" t="s">
        <v>1589</v>
      </c>
      <c r="F3" s="2" t="s">
        <v>1590</v>
      </c>
      <c r="G3" s="2" t="s">
        <v>20</v>
      </c>
    </row>
    <row r="4" spans="1:7" ht="28">
      <c r="A4" s="4" t="s">
        <v>1591</v>
      </c>
      <c r="B4" s="4" t="s">
        <v>1592</v>
      </c>
      <c r="C4" s="4" t="s">
        <v>1593</v>
      </c>
      <c r="D4" s="4" t="s">
        <v>1594</v>
      </c>
      <c r="E4" s="4" t="s">
        <v>1595</v>
      </c>
      <c r="F4" s="4" t="s">
        <v>1596</v>
      </c>
      <c r="G4" s="4" t="s">
        <v>1373</v>
      </c>
    </row>
    <row r="5" spans="1:7" ht="28">
      <c r="A5" s="4" t="s">
        <v>1597</v>
      </c>
      <c r="B5" s="4" t="s">
        <v>1598</v>
      </c>
      <c r="C5" s="4" t="s">
        <v>1599</v>
      </c>
      <c r="D5" s="4" t="s">
        <v>111</v>
      </c>
      <c r="E5" s="4" t="s">
        <v>1600</v>
      </c>
      <c r="F5" s="4" t="s">
        <v>1601</v>
      </c>
      <c r="G5" s="4" t="s">
        <v>1602</v>
      </c>
    </row>
    <row r="6" spans="1:7">
      <c r="A6" s="4" t="s">
        <v>1603</v>
      </c>
      <c r="B6" s="4" t="s">
        <v>1604</v>
      </c>
      <c r="C6" s="4" t="s">
        <v>236</v>
      </c>
      <c r="D6" s="4" t="s">
        <v>239</v>
      </c>
      <c r="E6" s="4" t="s">
        <v>139</v>
      </c>
      <c r="F6" s="4" t="s">
        <v>1605</v>
      </c>
      <c r="G6" s="4" t="s">
        <v>1546</v>
      </c>
    </row>
    <row r="7" spans="1:7">
      <c r="A7" s="4" t="s">
        <v>1606</v>
      </c>
      <c r="B7" s="4" t="s">
        <v>1607</v>
      </c>
      <c r="C7" s="4" t="s">
        <v>1608</v>
      </c>
      <c r="D7" s="4" t="s">
        <v>249</v>
      </c>
      <c r="E7" s="4" t="s">
        <v>91</v>
      </c>
      <c r="F7" s="4" t="s">
        <v>1609</v>
      </c>
      <c r="G7" s="4" t="s">
        <v>1610</v>
      </c>
    </row>
    <row r="8" spans="1:7">
      <c r="A8" s="4" t="s">
        <v>1611</v>
      </c>
      <c r="B8" s="4" t="s">
        <v>268</v>
      </c>
      <c r="C8" s="4" t="s">
        <v>1612</v>
      </c>
      <c r="D8" s="4" t="s">
        <v>270</v>
      </c>
      <c r="E8" s="4" t="s">
        <v>91</v>
      </c>
      <c r="F8" s="4" t="s">
        <v>1613</v>
      </c>
      <c r="G8" s="4" t="s">
        <v>1614</v>
      </c>
    </row>
    <row r="9" spans="1:7">
      <c r="A9" s="4" t="s">
        <v>1615</v>
      </c>
      <c r="B9" s="4" t="s">
        <v>1616</v>
      </c>
      <c r="C9" s="4" t="s">
        <v>1617</v>
      </c>
      <c r="D9" s="4" t="s">
        <v>291</v>
      </c>
      <c r="E9" s="4" t="s">
        <v>91</v>
      </c>
      <c r="F9" s="4" t="s">
        <v>1609</v>
      </c>
      <c r="G9" s="4" t="s">
        <v>1264</v>
      </c>
    </row>
    <row r="10" spans="1:7">
      <c r="A10" s="4" t="s">
        <v>1618</v>
      </c>
      <c r="B10" s="4" t="s">
        <v>1619</v>
      </c>
      <c r="C10" s="4" t="s">
        <v>493</v>
      </c>
      <c r="D10" s="4" t="s">
        <v>498</v>
      </c>
      <c r="E10" s="4" t="s">
        <v>1620</v>
      </c>
      <c r="F10" s="4" t="s">
        <v>1621</v>
      </c>
      <c r="G10" s="4" t="s">
        <v>1622</v>
      </c>
    </row>
    <row r="11" spans="1:7">
      <c r="A11" s="4" t="s">
        <v>1623</v>
      </c>
      <c r="B11" s="4" t="s">
        <v>1624</v>
      </c>
      <c r="C11" s="4" t="s">
        <v>510</v>
      </c>
      <c r="D11" s="4" t="s">
        <v>514</v>
      </c>
      <c r="E11" s="4" t="s">
        <v>1620</v>
      </c>
      <c r="F11" s="4" t="s">
        <v>186</v>
      </c>
      <c r="G11" s="4" t="s">
        <v>1625</v>
      </c>
    </row>
    <row r="12" spans="1:7">
      <c r="A12" s="4" t="s">
        <v>1626</v>
      </c>
      <c r="B12" s="4" t="s">
        <v>1430</v>
      </c>
      <c r="C12" s="4" t="s">
        <v>605</v>
      </c>
      <c r="D12" s="4" t="s">
        <v>609</v>
      </c>
      <c r="E12" s="4" t="s">
        <v>91</v>
      </c>
      <c r="F12" s="4" t="s">
        <v>1627</v>
      </c>
      <c r="G12" s="4" t="s">
        <v>1628</v>
      </c>
    </row>
    <row r="13" spans="1:7">
      <c r="A13" s="4" t="s">
        <v>1629</v>
      </c>
      <c r="B13" s="4" t="s">
        <v>1630</v>
      </c>
      <c r="C13" s="4" t="s">
        <v>418</v>
      </c>
      <c r="D13" s="4" t="s">
        <v>422</v>
      </c>
      <c r="E13" s="4" t="s">
        <v>91</v>
      </c>
      <c r="F13" s="4" t="s">
        <v>186</v>
      </c>
      <c r="G13" s="4" t="s">
        <v>1631</v>
      </c>
    </row>
    <row r="14" spans="1:7">
      <c r="A14" s="4" t="s">
        <v>1632</v>
      </c>
      <c r="B14" s="4" t="s">
        <v>1633</v>
      </c>
      <c r="C14" s="4" t="s">
        <v>1634</v>
      </c>
      <c r="D14" s="4" t="s">
        <v>1635</v>
      </c>
      <c r="E14" s="4" t="s">
        <v>1620</v>
      </c>
      <c r="F14" s="4" t="s">
        <v>114</v>
      </c>
      <c r="G14" s="4" t="s">
        <v>1636</v>
      </c>
    </row>
    <row r="15" spans="1:7" ht="28">
      <c r="A15" s="4" t="s">
        <v>1637</v>
      </c>
      <c r="B15" s="4" t="s">
        <v>1638</v>
      </c>
      <c r="C15" s="4" t="s">
        <v>1639</v>
      </c>
      <c r="D15" s="4" t="s">
        <v>147</v>
      </c>
      <c r="E15" s="4" t="s">
        <v>139</v>
      </c>
      <c r="F15" s="4" t="s">
        <v>1640</v>
      </c>
      <c r="G15" s="4" t="s">
        <v>1641</v>
      </c>
    </row>
    <row r="16" spans="1:7" ht="28">
      <c r="A16" s="4" t="s">
        <v>1642</v>
      </c>
      <c r="B16" s="4" t="s">
        <v>1643</v>
      </c>
      <c r="C16" s="4" t="s">
        <v>1644</v>
      </c>
      <c r="D16" s="4" t="s">
        <v>1645</v>
      </c>
      <c r="E16" s="4" t="s">
        <v>91</v>
      </c>
      <c r="F16" s="4" t="s">
        <v>1646</v>
      </c>
      <c r="G16" s="4" t="s">
        <v>1647</v>
      </c>
    </row>
    <row r="17" spans="1:7">
      <c r="A17" s="4" t="s">
        <v>1648</v>
      </c>
      <c r="B17" s="4" t="s">
        <v>1649</v>
      </c>
      <c r="C17" s="4" t="s">
        <v>1650</v>
      </c>
      <c r="D17" s="4" t="s">
        <v>194</v>
      </c>
      <c r="E17" s="4" t="s">
        <v>1651</v>
      </c>
      <c r="F17" s="4" t="s">
        <v>1652</v>
      </c>
      <c r="G17" s="4" t="s">
        <v>1653</v>
      </c>
    </row>
    <row r="18" spans="1:7" ht="28">
      <c r="A18" s="4" t="s">
        <v>1654</v>
      </c>
      <c r="B18" s="4" t="s">
        <v>778</v>
      </c>
      <c r="C18" s="4" t="s">
        <v>779</v>
      </c>
      <c r="D18" s="4" t="s">
        <v>783</v>
      </c>
      <c r="E18" s="4" t="s">
        <v>785</v>
      </c>
      <c r="F18" s="4" t="s">
        <v>114</v>
      </c>
      <c r="G18" s="4" t="s">
        <v>1655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00 Guia</vt:lpstr>
      <vt:lpstr>01 Canais</vt:lpstr>
      <vt:lpstr>02 Status</vt:lpstr>
      <vt:lpstr>03 Cadências</vt:lpstr>
      <vt:lpstr>04 Passos_Cadência</vt:lpstr>
      <vt:lpstr>05 Scripts</vt:lpstr>
      <vt:lpstr>06 Transições</vt:lpstr>
      <vt:lpstr>07 Score_Prioridade</vt:lpstr>
      <vt:lpstr>08 Plano_Ataque</vt:lpstr>
      <vt:lpstr>Listas</vt:lpstr>
      <vt:lpstr>09 Teste_Clientes</vt:lpstr>
      <vt:lpstr>10 Integrações</vt:lpstr>
      <vt:lpstr>11 Testes_Cenários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Santos</dc:creator>
  <cp:lastModifiedBy>Daniel Santos</cp:lastModifiedBy>
  <dcterms:created xsi:type="dcterms:W3CDTF">2026-07-30T23:59:46Z</dcterms:created>
  <dcterms:modified xsi:type="dcterms:W3CDTF">2026-07-30T23:59:46Z</dcterms:modified>
</cp:coreProperties>
</file>